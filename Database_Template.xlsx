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nfig" sheetId="1" state="visible" r:id="rId3"/>
    <sheet name="watchlist_companies" sheetId="2" state="visible" r:id="rId4"/>
    <sheet name="master_doc" sheetId="3" state="visible" r:id="rId5"/>
    <sheet name="prompts" sheetId="4" state="visible" r:id="rId6"/>
    <sheet name="jobs" sheetId="5" state="visible" r:id="rId7"/>
    <sheet name="jsearch_usage" sheetId="6" state="visible" r:id="rId8"/>
    <sheet name="slug_failures" sheetId="7" state="visible" r:id="rId9"/>
    <sheet name="pricing" sheetId="8" state="visible" r:id="rId10"/>
    <sheet name="cover_letters" sheetId="9" state="visible" r:id="rId11"/>
    <sheet name="model_usage" sheetId="10" state="visible" r:id="rId12"/>
    <sheet name="agent_outputs" sheetId="11" state="visible" r:id="rId13"/>
    <sheet name="resumes" sheetId="12" state="visible" r:id="rId14"/>
    <sheet name="run_errors" sheetId="13" state="visible" r:id="rId15"/>
    <sheet name="run_state" sheetId="14" state="visible" r:id="rId16"/>
    <sheet name="credit_status" sheetId="15" state="visible" r:id="rId17"/>
  </sheets>
  <definedNames>
    <definedName function="false" hidden="true" localSheetId="3" name="_xlnm._FilterDatabase" vbProcedure="false">prompts!$A$1:$AA$12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<sst xmlns="http://schemas.openxmlformats.org/spreadsheetml/2006/main" count="800" uniqueCount="499">
  <si>
    <t xml:space="preserve">category</t>
  </si>
  <si>
    <t xml:space="preserve">parameter</t>
  </si>
  <si>
    <t xml:space="preserve">value</t>
  </si>
  <si>
    <t xml:space="preserve">description</t>
  </si>
  <si>
    <t xml:space="preserve">examples_or_notes</t>
  </si>
  <si>
    <t xml:space="preserve">display_order</t>
  </si>
  <si>
    <t xml:space="preserve">input_type</t>
  </si>
  <si>
    <t xml:space="preserve">options</t>
  </si>
  <si>
    <t xml:space="preserve">Your Profile</t>
  </si>
  <si>
    <t xml:space="preserve">applicant_first_name</t>
  </si>
  <si>
    <t xml:space="preserve">Your first name. Appears in resume header and cover letter sender block.</t>
  </si>
  <si>
    <t xml:space="preserve">Jane | Robert | Aisha</t>
  </si>
  <si>
    <t xml:space="preserve">applicant_last_name</t>
  </si>
  <si>
    <t xml:space="preserve">Your last name. Appears in resume header and cover letter sender block.</t>
  </si>
  <si>
    <t xml:space="preserve">Smith | Garcia | Khan</t>
  </si>
  <si>
    <t xml:space="preserve">applicant_credentials</t>
  </si>
  <si>
    <t xml:space="preserve">Your Credential</t>
  </si>
  <si>
    <t xml:space="preserve">PhD | MSc |BSc</t>
  </si>
  <si>
    <t xml:space="preserve">applicant_location</t>
  </si>
  <si>
    <t xml:space="preserve">City and state/region. Appears in resume header contact line and used as a job-location preference signal during scoring.</t>
  </si>
  <si>
    <t xml:space="preserve">Seattle, WA | San Francisco Bay Area | Remote (US-based)</t>
  </si>
  <si>
    <t xml:space="preserve">applicant_email</t>
  </si>
  <si>
    <t xml:space="preserve">Primary email address. Appears in resume header and cover letter sender block. Use a professional address.</t>
  </si>
  <si>
    <t xml:space="preserve">first.last@gmail.com | name@domain.com</t>
  </si>
  <si>
    <t xml:space="preserve">applicant_phone</t>
  </si>
  <si>
    <t xml:space="preserve">Phone number with area code. Appears in resume header and cover letter sender block. Format consistently.</t>
  </si>
  <si>
    <t xml:space="preserve">(206) 555-1234 | +1-415-555-9876</t>
  </si>
  <si>
    <t xml:space="preserve">applicant_linkedin_url</t>
  </si>
  <si>
    <t xml:space="preserve">Full LinkedIn profile URL. Appears in resume header and cover letter sender block. NOTE: LinkedIn slugs typically use hyphens not underscores — confirm this URL is correct.</t>
  </si>
  <si>
    <t xml:space="preserve">https://linkedin.com/in/first-last</t>
  </si>
  <si>
    <t xml:space="preserve">profile_summary</t>
  </si>
  <si>
    <t xml:space="preserve">High-level professional summary.</t>
  </si>
  <si>
    <t xml:space="preserve">Senior PM with 10 yrs in fintech / Head of AI with deep robotics expertise</t>
  </si>
  <si>
    <t xml:space="preserve">textarea</t>
  </si>
  <si>
    <t xml:space="preserve">background_titles</t>
  </si>
  <si>
    <t xml:space="preserve">Comma-separated enriched titles representing the candidate's career background. Used dual ranking — jobs that match either target or background pass the title gate. Leave blank to disable dual ranking (background_score will be 0 for all jobs).</t>
  </si>
  <si>
    <t xml:space="preserve">VP Innovation (AI/ML, advanced manufacturing), VP AI/ML (mobility data analytics), Head of AI (welding robotics), Senior TPM (cloud platforms), Director AI/ML (autonomous vehicles)</t>
  </si>
  <si>
    <t xml:space="preserve">tags</t>
  </si>
  <si>
    <t xml:space="preserve">What You're Looking For</t>
  </si>
  <si>
    <t xml:space="preserve">target_titles</t>
  </si>
  <si>
    <t xml:space="preserve">Comma-separated  target job titles for job discovery.</t>
  </si>
  <si>
    <t xml:space="preserve">Director of AI, VP Engineering, Head of Product</t>
  </si>
  <si>
    <t xml:space="preserve">domain_interests</t>
  </si>
  <si>
    <t xml:space="preserve">Comma-separated industries and technology domains you target.</t>
  </si>
  <si>
    <t xml:space="preserve">robotics, computer vision, AI infrastructure</t>
  </si>
  <si>
    <t xml:space="preserve">target_country</t>
  </si>
  <si>
    <t xml:space="preserve">Country code for primary job search. </t>
  </si>
  <si>
    <t xml:space="preserve">US | CA | UK | DE</t>
  </si>
  <si>
    <t xml:space="preserve">target_location</t>
  </si>
  <si>
    <t xml:space="preserve">Comma-separated target location(s) for job discovery ranking. If blank, falls back to applicant_location. Remote roles always pass regardless</t>
  </si>
  <si>
    <t xml:space="preserve">Seattle, WA | San Francisco Bay Area | New York, NY</t>
  </si>
  <si>
    <t xml:space="preserve">Search Filters</t>
  </si>
  <si>
    <t xml:space="preserve">employment_type_considered</t>
  </si>
  <si>
    <t xml:space="preserve">Employment types.</t>
  </si>
  <si>
    <t xml:space="preserve">multi_enum</t>
  </si>
  <si>
    <t xml:space="preserve">full_time|part_time|contract|internship|temporary</t>
  </si>
  <si>
    <t xml:space="preserve">exclude_companies</t>
  </si>
  <si>
    <t xml:space="preserve">Comma-separated companies to hard-exclude from discovery. Case-insensitive match.</t>
  </si>
  <si>
    <t xml:space="preserve">Meta, Apple, Amazon | Add competitors or past employers</t>
  </si>
  <si>
    <t xml:space="preserve">salary_floor</t>
  </si>
  <si>
    <t xml:space="preserve">Minimum acceptable annual salary (USD). Blank = no salary floor.</t>
  </si>
  <si>
    <t xml:space="preserve">e.g. 150000</t>
  </si>
  <si>
    <t xml:space="preserve">number</t>
  </si>
  <si>
    <t xml:space="preserve">Discovery Tuning</t>
  </si>
  <si>
    <t xml:space="preserve">discovery_fetcher_order</t>
  </si>
  <si>
    <t xml:space="preserve">greenhouse,lever,ashby</t>
  </si>
  <si>
    <t xml:space="preserve">Only Greenhouse, Lever, Ashby and JSearch is implemented</t>
  </si>
  <si>
    <t xml:space="preserve">greenhouse|lever|ashby|jsearch</t>
  </si>
  <si>
    <t xml:space="preserve">search_window_hours</t>
  </si>
  <si>
    <t xml:space="preserve">Time window (hours) for job search</t>
  </si>
  <si>
    <t xml:space="preserve">24 (daily) | 168 (weekly) | 720 (monthly) | 8760 (yearly)</t>
  </si>
  <si>
    <t xml:space="preserve">discovery_priority_threshold</t>
  </si>
  <si>
    <t xml:space="preserve">Search for high priority companies. </t>
  </si>
  <si>
    <t xml:space="preserve">0 is the highest. 999 (all)</t>
  </si>
  <si>
    <t xml:space="preserve">discovery_max_jobs_per_run</t>
  </si>
  <si>
    <t xml:space="preserve">Minimum combined rank score (0-100) a job must reach to be sent for scoring; jobs below are dropped even when under the max-jobs cap</t>
  </si>
  <si>
    <t xml:space="preserve">0-100; e.g. 30. Set 0 to disable</t>
  </si>
  <si>
    <t xml:space="preserve">discovery_max_results_per_query</t>
  </si>
  <si>
    <t xml:space="preserve"> JSearch max query </t>
  </si>
  <si>
    <t xml:space="preserve">per-query cap for JSearch (how many results to pull per target_title search). JSearch-only. Doesn't affect Greenhouse/Lever (their APIs don't accept per-query limits).</t>
  </si>
  <si>
    <t xml:space="preserve">Discovery Pre-Rank</t>
  </si>
  <si>
    <t xml:space="preserve">discovery_rank_weight_title</t>
  </si>
  <si>
    <t xml:space="preserve">Weight for title relevance when ranking deduped jobs before scoring</t>
  </si>
  <si>
    <t xml:space="preserve">discovery_rank_weight_* should sum to 1.0</t>
  </si>
  <si>
    <t xml:space="preserve">discovery_rank_weight_location</t>
  </si>
  <si>
    <t xml:space="preserve">Weight for location fit when ranking deduped jobs before scoring</t>
  </si>
  <si>
    <t xml:space="preserve">discovery_rank_weight_* should sum to 1.1</t>
  </si>
  <si>
    <t xml:space="preserve">discovery_rank_watchlist_boost</t>
  </si>
  <si>
    <t xml:space="preserve">Points added to the rank score if the company is on the watchlist (applied after weighted title+location)</t>
  </si>
  <si>
    <t xml:space="preserve">0-100 scale; e.g. 10</t>
  </si>
  <si>
    <t xml:space="preserve">discovery_rank_floor</t>
  </si>
  <si>
    <t xml:space="preserve">Minimum relevance a job must reach. Drops jobs with weak relevance match.</t>
  </si>
  <si>
    <t xml:space="preserve">default is 30</t>
  </si>
  <si>
    <t xml:space="preserve">discovery_rank_location_hard_floor</t>
  </si>
  <si>
    <t xml:space="preserve">Minimum location_relevance a job must reach. Drops jobs with weak location match even when location is excellent.</t>
  </si>
  <si>
    <t xml:space="preserve">default is 20</t>
  </si>
  <si>
    <t xml:space="preserve">discovery_rank_title_hard_floor</t>
  </si>
  <si>
    <t xml:space="preserve">Minimum title_relevance a job must reach. Drops jobs with weak title match even when location is excellent.</t>
  </si>
  <si>
    <t xml:space="preserve">default is 25</t>
  </si>
  <si>
    <t xml:space="preserve">discovery_rank_payload_cap</t>
  </si>
  <si>
    <t xml:space="preserve">Maximum jobs sent to the pre-ranker LLM in one call. Bounds payload size if dedup returns an unusually large pool. If exceeded, top of the Dedup stream is taken (merge order)</t>
  </si>
  <si>
    <t xml:space="preserve">Set well above discovery_max_jobs_per_run</t>
  </si>
  <si>
    <t xml:space="preserve">Discovery Job Match Scoring</t>
  </si>
  <si>
    <t xml:space="preserve">weight_title_match</t>
  </si>
  <si>
    <t xml:space="preserve">Weight for title_match dimension when computing overall_score</t>
  </si>
  <si>
    <t xml:space="preserve">all weight_* should sum to 1.0</t>
  </si>
  <si>
    <t xml:space="preserve">weight_level_match</t>
  </si>
  <si>
    <t xml:space="preserve">Weight for level_match dimension when computing overall_score</t>
  </si>
  <si>
    <t xml:space="preserve">weight_role_type_match</t>
  </si>
  <si>
    <t xml:space="preserve">Weight for role_type_match dimension when computing overall_score</t>
  </si>
  <si>
    <t xml:space="preserve">weight_domain_match</t>
  </si>
  <si>
    <t xml:space="preserve">Weight for domain_match dimension when computing overall_score</t>
  </si>
  <si>
    <t xml:space="preserve">weight_location_match</t>
  </si>
  <si>
    <t xml:space="preserve">Weight for location_match dimension when computing overall_score</t>
  </si>
  <si>
    <t xml:space="preserve">weight_salary_signal</t>
  </si>
  <si>
    <t xml:space="preserve">Weight for salary_signal dimension when computing overall_score</t>
  </si>
  <si>
    <t xml:space="preserve">discovery_threshold_strong_fit</t>
  </si>
  <si>
    <t xml:space="preserve">overall_score at or above this maps verdict to strong_match</t>
  </si>
  <si>
    <t xml:space="preserve">0-100 scale</t>
  </si>
  <si>
    <t xml:space="preserve">discovery_threshold_fit</t>
  </si>
  <si>
    <t xml:space="preserve">overall_score at or above this maps verdict to match</t>
  </si>
  <si>
    <t xml:space="preserve">discovery_threshold_weak_fit</t>
  </si>
  <si>
    <t xml:space="preserve">overall_score at or above this maps verdict to weak_match anything below becomes skip</t>
  </si>
  <si>
    <t xml:space="preserve">Schedule</t>
  </si>
  <si>
    <t xml:space="preserve">timezone</t>
  </si>
  <si>
    <t xml:space="preserve">America/Los_Angeles</t>
  </si>
  <si>
    <t xml:space="preserve">IANA timezone identifier used for all cron schedules and date stamping.</t>
  </si>
  <si>
    <t xml:space="preserve">America/Los_Angeles | America/New_York | Europe/London</t>
  </si>
  <si>
    <t xml:space="preserve">job_search_cron</t>
  </si>
  <si>
    <t xml:space="preserve">0 */6 * * *</t>
  </si>
  <si>
    <t xml:space="preserve">Schedule runs for Job Discovery. </t>
  </si>
  <si>
    <t xml:space="preserve">0 */6 * * * (every 6hrs) | 0 9 * * * (daily 9am) | 0 9 * * 1 (weekly Mon)</t>
  </si>
  <si>
    <t xml:space="preserve">cron</t>
  </si>
  <si>
    <t xml:space="preserve">Application Pipeline Control</t>
  </si>
  <si>
    <t xml:space="preserve">application_max_jobs_per_run</t>
  </si>
  <si>
    <t xml:space="preserve">Max jobs the application pipeline will process in a single run.</t>
  </si>
  <si>
    <t xml:space="preserve">3-5 (testing) | 10-20 (steady state)</t>
  </si>
  <si>
    <t xml:space="preserve">enable_cover_letter_drafter</t>
  </si>
  <si>
    <t xml:space="preserve">Enable cover letter generation</t>
  </si>
  <si>
    <t xml:space="preserve">TRUE | FALSE</t>
  </si>
  <si>
    <t xml:space="preserve">boolean</t>
  </si>
  <si>
    <t xml:space="preserve">enable_resume_verifier</t>
  </si>
  <si>
    <t xml:space="preserve">Enable Resume Verifier (hallucination check) in refinement pipeline</t>
  </si>
  <si>
    <t xml:space="preserve">AI (LLM) Models</t>
  </si>
  <si>
    <t xml:space="preserve">provider_discovery_scorer</t>
  </si>
  <si>
    <t xml:space="preserve">anthropic</t>
  </si>
  <si>
    <t xml:space="preserve">LLM provider for scoring discovered job</t>
  </si>
  <si>
    <t xml:space="preserve">anthropic or openai</t>
  </si>
  <si>
    <t xml:space="preserve">provider</t>
  </si>
  <si>
    <t xml:space="preserve">model_discovery_scorer</t>
  </si>
  <si>
    <t xml:space="preserve">claude-haiku-4-5-20251001</t>
  </si>
  <si>
    <t xml:space="preserve">Model used to score discovered jobs</t>
  </si>
  <si>
    <t xml:space="preserve">cheap model is fine since scoring is short</t>
  </si>
  <si>
    <t xml:space="preserve">model</t>
  </si>
  <si>
    <t xml:space="preserve">max_tokens_discovery_scorer</t>
  </si>
  <si>
    <t xml:space="preserve">Max output tokens for scoring discovered job</t>
  </si>
  <si>
    <t xml:space="preserve">large enough for dimensions plus restrictions plus strengths plus gaps</t>
  </si>
  <si>
    <t xml:space="preserve">provider_discovery_ranker</t>
  </si>
  <si>
    <t xml:space="preserve">LLM provider for ranking discovered job</t>
  </si>
  <si>
    <t xml:space="preserve">model_discovery_ranker</t>
  </si>
  <si>
    <t xml:space="preserve">claude-sonnet-4-5-20250929</t>
  </si>
  <si>
    <t xml:space="preserve">Model used to rank discovered jobs</t>
  </si>
  <si>
    <t xml:space="preserve">max_tokens_discovery_ranker</t>
  </si>
  <si>
    <t xml:space="preserve">Max output tokens for ranking discovered job</t>
  </si>
  <si>
    <t xml:space="preserve">provider_resume_drafter</t>
  </si>
  <si>
    <t xml:space="preserve">Model provider for Resume Drafter</t>
  </si>
  <si>
    <t xml:space="preserve">anthropic | (future: openai, google)</t>
  </si>
  <si>
    <t xml:space="preserve">model_resume_drafter</t>
  </si>
  <si>
    <t xml:space="preserve">Anthropic model Resume Drafter</t>
  </si>
  <si>
    <t xml:space="preserve">claude-haiku-4-5-20251001 (cheap, default) | claude-sonnet-4-5-20250929 (smarter)</t>
  </si>
  <si>
    <t xml:space="preserve">max_tokens_resume_drafter</t>
  </si>
  <si>
    <t xml:space="preserve">Maximum output tokens forResume DrafterResume Drafter</t>
  </si>
  <si>
    <t xml:space="preserve">2000 (1 page) | 3000 (default) | 4000 (long CV)</t>
  </si>
  <si>
    <t xml:space="preserve">provider_resume_verifier</t>
  </si>
  <si>
    <t xml:space="preserve">Model provider for Resume Verifier</t>
  </si>
  <si>
    <t xml:space="preserve">model_resume_verifier</t>
  </si>
  <si>
    <t xml:space="preserve">Anthropic model for Resume Verifier</t>
  </si>
  <si>
    <t xml:space="preserve">claude-haiku-4-5-20251001 (default)</t>
  </si>
  <si>
    <t xml:space="preserve">max_tokens_resume_verifier</t>
  </si>
  <si>
    <t xml:space="preserve">Maximum output tokens for Resume Verifier</t>
  </si>
  <si>
    <t xml:space="preserve">1500 | 2000 (default) | 2500</t>
  </si>
  <si>
    <t xml:space="preserve">provider_polisher</t>
  </si>
  <si>
    <t xml:space="preserve">Model provider for Resume Critic</t>
  </si>
  <si>
    <t xml:space="preserve">model_polisher</t>
  </si>
  <si>
    <t xml:space="preserve">Anthropic model for Resume Critic</t>
  </si>
  <si>
    <t xml:space="preserve">claude-haiku-4-5-20251001 (default) | upgrade to Sonnet for deeper critique</t>
  </si>
  <si>
    <t xml:space="preserve">max_tokens_polisher</t>
  </si>
  <si>
    <t xml:space="preserve">Maximum output tokens for Resume Critic</t>
  </si>
  <si>
    <t xml:space="preserve">1000 | 1500 (default) | 2000</t>
  </si>
  <si>
    <t xml:space="preserve">provider_refiner</t>
  </si>
  <si>
    <t xml:space="preserve">LLM provider for Resume Refiner</t>
  </si>
  <si>
    <t xml:space="preserve">model_refiner</t>
  </si>
  <si>
    <t xml:space="preserve">Model used for Resume Refiner</t>
  </si>
  <si>
    <t xml:space="preserve">Sonnet recommended; Haiku will produce lower-quality prose</t>
  </si>
  <si>
    <t xml:space="preserve">max_tokens_refiner</t>
  </si>
  <si>
    <t xml:space="preserve">Max output tokens for Resume Refiner</t>
  </si>
  <si>
    <t xml:space="preserve">8192 to fit a full resume rewrite</t>
  </si>
  <si>
    <t xml:space="preserve">provider_critic</t>
  </si>
  <si>
    <t xml:space="preserve">model_critic</t>
  </si>
  <si>
    <t xml:space="preserve">max_tokens_critic</t>
  </si>
  <si>
    <t xml:space="preserve">provider_resume_scorer</t>
  </si>
  <si>
    <t xml:space="preserve">Model provider for Resume Scorer</t>
  </si>
  <si>
    <t xml:space="preserve">model_resume_scorer</t>
  </si>
  <si>
    <t xml:space="preserve">Anthropic model for Resume Scorer </t>
  </si>
  <si>
    <t xml:space="preserve">max_tokens_resume_scorer</t>
  </si>
  <si>
    <t xml:space="preserve">Maximum output tokens for Resume Scorer</t>
  </si>
  <si>
    <t xml:space="preserve">1000 | 1500 (default)</t>
  </si>
  <si>
    <t xml:space="preserve">provider_cover_letter_drafter</t>
  </si>
  <si>
    <t xml:space="preserve">Model provider for Cover Letter Drafter</t>
  </si>
  <si>
    <t xml:space="preserve">model_cover_letter_drafter</t>
  </si>
  <si>
    <t xml:space="preserve">Anthropic model for Cover Letter Drafter</t>
  </si>
  <si>
    <t xml:space="preserve">max_tokens_cover_letter_drafter</t>
  </si>
  <si>
    <t xml:space="preserve">Maximum output tokens for for Cover Letter Drafter</t>
  </si>
  <si>
    <t xml:space="preserve">1000 | 1200 (default) | 1500</t>
  </si>
  <si>
    <t xml:space="preserve">provider_cover_letter_verifier</t>
  </si>
  <si>
    <t xml:space="preserve">Model provider for Cover Letter Verifier</t>
  </si>
  <si>
    <t xml:space="preserve">model_cover_letter_verifier</t>
  </si>
  <si>
    <t xml:space="preserve">Anthropic model for Cover Letter Verifier</t>
  </si>
  <si>
    <t xml:space="preserve">max_tokens_cover_letter_verifier</t>
  </si>
  <si>
    <t xml:space="preserve">Maximum output tokens for Cover Letter Verifier</t>
  </si>
  <si>
    <t xml:space="preserve">1500 | 2000 (default)</t>
  </si>
  <si>
    <t xml:space="preserve">provider_cover_letter_refiner</t>
  </si>
  <si>
    <t xml:space="preserve">model_cover_letter_refiner</t>
  </si>
  <si>
    <t xml:space="preserve">max_tokens_cover_letter_refiner</t>
  </si>
  <si>
    <t xml:space="preserve">Resume Formatting</t>
  </si>
  <si>
    <t xml:space="preserve">resume_max_pages</t>
  </si>
  <si>
    <t xml:space="preserve">Maximum number of pages for generated resume. </t>
  </si>
  <si>
    <t xml:space="preserve">1 (junior) | 2 (default — most roles) | 3 (academic/executive)</t>
  </si>
  <si>
    <t xml:space="preserve">resume_paper_size</t>
  </si>
  <si>
    <t xml:space="preserve">letter</t>
  </si>
  <si>
    <t xml:space="preserve">Paper size.</t>
  </si>
  <si>
    <t xml:space="preserve">letter (US) | A4 (international)</t>
  </si>
  <si>
    <t xml:space="preserve">enum</t>
  </si>
  <si>
    <t xml:space="preserve">letter|a4</t>
  </si>
  <si>
    <t xml:space="preserve">resume_font_family</t>
  </si>
  <si>
    <t xml:space="preserve">Calibri, Helvetica, sans-serif</t>
  </si>
  <si>
    <t xml:space="preserve">Comma-separated CSS font-family list with fallbacks. First available font wins.</t>
  </si>
  <si>
    <t xml:space="preserve">Calibri, Helvetica, sans-serif (modern) | Times New Roman, serif (traditional)</t>
  </si>
  <si>
    <t xml:space="preserve">resume_font_size_pt</t>
  </si>
  <si>
    <t xml:space="preserve">Body font size in points. (Number type.)</t>
  </si>
  <si>
    <t xml:space="preserve">10 (squeeze to 1 page) | 10.5 (default) | 11 (spacious)</t>
  </si>
  <si>
    <t xml:space="preserve">resume_margin_top_in</t>
  </si>
  <si>
    <t xml:space="preserve">Top margin in inches. </t>
  </si>
  <si>
    <t xml:space="preserve">0.4 (very tight) | 0.5 (default) | 0.75 (generous)</t>
  </si>
  <si>
    <t xml:space="preserve">resume_margin_bottom_in</t>
  </si>
  <si>
    <t xml:space="preserve">Bottom margin in inches. </t>
  </si>
  <si>
    <t xml:space="preserve">0.6 (tight) | 0.7 (default) | 1 (generous)</t>
  </si>
  <si>
    <t xml:space="preserve">resume_margin_left_in</t>
  </si>
  <si>
    <t xml:space="preserve">Left margin in inches. </t>
  </si>
  <si>
    <t xml:space="preserve">resume_margin_right_in</t>
  </si>
  <si>
    <t xml:space="preserve">Rght margin in inches.</t>
  </si>
  <si>
    <t xml:space="preserve">resume_accent_color</t>
  </si>
  <si>
    <t xml:space="preserve">#1a4d8f</t>
  </si>
  <si>
    <t xml:space="preserve">Hex color for section headers underlines and name underline. </t>
  </si>
  <si>
    <t xml:space="preserve">#1a4d8f (navy default) | #000000 (pure black) | #2c5f7f (teal-blue)</t>
  </si>
  <si>
    <t xml:space="preserve">color</t>
  </si>
  <si>
    <t xml:space="preserve">Cover Letter Formatting</t>
  </si>
  <si>
    <t xml:space="preserve">cover_letter_max_words</t>
  </si>
  <si>
    <t xml:space="preserve">Maximum word count for cover letter.</t>
  </si>
  <si>
    <t xml:space="preserve">250 (concise) | 400 (default) | 500 (detailed)</t>
  </si>
  <si>
    <t xml:space="preserve">cover_letter_paper_size</t>
  </si>
  <si>
    <t xml:space="preserve">Paper size for cover letter. </t>
  </si>
  <si>
    <t xml:space="preserve">cover_letter_font_family</t>
  </si>
  <si>
    <t xml:space="preserve">Georgia, "Times New Roman", serif</t>
  </si>
  <si>
    <t xml:space="preserve">Georgia, "Times New Roman", serif (traditional) | Calibri, Helvetica, sans-serif (modern)</t>
  </si>
  <si>
    <t xml:space="preserve">cover_letter_font_size_pt</t>
  </si>
  <si>
    <t xml:space="preserve">Body font size in points. </t>
  </si>
  <si>
    <t xml:space="preserve">10 (your current — tight) | 11 (standard) | 12 (generous)</t>
  </si>
  <si>
    <t xml:space="preserve">cover_letter_margin_top_in</t>
  </si>
  <si>
    <t xml:space="preserve">Top and bottom margin in inches.</t>
  </si>
  <si>
    <t xml:space="preserve">0.4 (your current — tight) | 0.75 (standard) | 1 (generous)</t>
  </si>
  <si>
    <t xml:space="preserve">cover_letter_margin_side_in</t>
  </si>
  <si>
    <t xml:space="preserve">Left and right margin in inches.</t>
  </si>
  <si>
    <t xml:space="preserve">0.6 (your current — tight) | 1 (standard)</t>
  </si>
  <si>
    <t xml:space="preserve">Status Labels</t>
  </si>
  <si>
    <t xml:space="preserve">processed_status_pending</t>
  </si>
  <si>
    <t xml:space="preserve">pending</t>
  </si>
  <si>
    <t xml:space="preserve">Status string in the Jobs sheet marking a job as not yet processed. Filter Jobs node looks for this value.</t>
  </si>
  <si>
    <t xml:space="preserve">pending | queued | new</t>
  </si>
  <si>
    <t xml:space="preserve">processed_status_done</t>
  </si>
  <si>
    <t xml:space="preserve">done</t>
  </si>
  <si>
    <t xml:space="preserve">Status string written back to the Jobs sheet after a job is fully processed and uploaded to Drive.</t>
  </si>
  <si>
    <t xml:space="preserve">done | completed | applied</t>
  </si>
  <si>
    <t xml:space="preserve">processed_status_error</t>
  </si>
  <si>
    <t xml:space="preserve">error</t>
  </si>
  <si>
    <t xml:space="preserve">Status string written back to the Jobs sheet when a job fails at any pipeline stage.</t>
  </si>
  <si>
    <t xml:space="preserve">error | failed | retry</t>
  </si>
  <si>
    <t xml:space="preserve">company_name</t>
  </si>
  <si>
    <t xml:space="preserve">domain</t>
  </si>
  <si>
    <t xml:space="preserve">priority</t>
  </si>
  <si>
    <t xml:space="preserve">greenhouse_slug</t>
  </si>
  <si>
    <t xml:space="preserve">lever_slug</t>
  </si>
  <si>
    <t xml:space="preserve">ashby_slug</t>
  </si>
  <si>
    <t xml:space="preserve">workday_url</t>
  </si>
  <si>
    <t xml:space="preserve">careers_url</t>
  </si>
  <si>
    <t xml:space="preserve">ats_last_polled_at</t>
  </si>
  <si>
    <t xml:space="preserve">jobs_found_last_poll</t>
  </si>
  <si>
    <t xml:space="preserve">added_at</t>
  </si>
  <si>
    <t xml:space="preserve">note</t>
  </si>
  <si>
    <t xml:space="preserve">Linear</t>
  </si>
  <si>
    <t xml:space="preserve">ashby_test</t>
  </si>
  <si>
    <t xml:space="preserve">2026-05-27T02:59:36Z</t>
  </si>
  <si>
    <t xml:space="preserve">smoke test — verified slug</t>
  </si>
  <si>
    <t xml:space="preserve">Ramp</t>
  </si>
  <si>
    <t xml:space="preserve">ramp</t>
  </si>
  <si>
    <t xml:space="preserve">Replit</t>
  </si>
  <si>
    <t xml:space="preserve">replit</t>
  </si>
  <si>
    <t xml:space="preserve">Notion</t>
  </si>
  <si>
    <t xml:space="preserve">notion</t>
  </si>
  <si>
    <t xml:space="preserve">Vercel</t>
  </si>
  <si>
    <t xml:space="preserve">greenhouse_test</t>
  </si>
  <si>
    <t xml:space="preserve">vercel</t>
  </si>
  <si>
    <t xml:space="preserve">2026-06-01T07:36:21.034Z</t>
  </si>
  <si>
    <t xml:space="preserve">Stripe</t>
  </si>
  <si>
    <t xml:space="preserve">stripe</t>
  </si>
  <si>
    <t xml:space="preserve">2026-06-01T07:37:01.316Z</t>
  </si>
  <si>
    <t xml:space="preserve">gopuff</t>
  </si>
  <si>
    <t xml:space="preserve">lever_test</t>
  </si>
  <si>
    <t xml:space="preserve">2026-06-09T21:31:19.541Z</t>
  </si>
  <si>
    <t xml:space="preserve">key</t>
  </si>
  <si>
    <t xml:space="preserve">markdown</t>
  </si>
  <si>
    <r>
      <rPr>
        <sz val="10"/>
        <color theme="1"/>
        <rFont val="Calibri"/>
        <family val="0"/>
      </rPr>
      <t xml:space="preserve"># Master Career Document — [Your Name]
**How to use this document.** This is your ground truth — the single source the résumé-building agent and the hallucination-checking (Verifier) agent draw from. Every claim a résumé makes must be traceable to a line here. Keep it complete and accurate: the agents will *select and rephrase* what's here, but they will never invent beyond it. The more thorough this document, the better your tailored résumés.
&gt; **Filling this in:** replace every `[bracketed prompt]` with your own details. Each section includes one short *example* line (in italics) to show the expected format — delete the examples once you've added your own. You don't need to keep the section numbering, but keeping the headings helps the agents.&gt;&gt; **When you're done:** upload this file (`.md`, `.docx`, or `.doc`) from the Maestro dashboard. It will be written into your database automatically — you don't need to edit the spreadsheet by hand.
---
## 1. Contact &amp; Identity
- Name: [your full name]- Location: [city, state/region, country]- Phone: [phone number]- Primary email: [email]- LinkedIn: [linkedin.com/in/your-handle]- GitHub / portfolio: [optional — github.com/you, yoursite.com]- Work authorization: [e.g. citizen, permanent resident, visa status]
*Example — Location: Austin, TX, USA*
## 2. Positioning Lines &amp; Headlines
A small library of one-line positioning statements. The résumé-builder agent picks the closest fit to each target role, so include a few variations that emphasize different strengths.
- [headline option 1]- [headline option 2]- [headline option 3]
*Example — Senior Software Engineer | API Design, Cloud Infrastructure, Developer Experience*
## 3. Professional Summary (long form)
A few paragraphs describing who you are professionally: your years of experience, core strengths, the kind of work you own, and how you work. Write it complete and honest — the agent will compress and tailor it per role.
[your professional summary]
*Example — Full-stack engineer with 6 years building and scaling web applications across SaaS and fintech. Owns features end-to-end, from design through deployment and on-call.*
## 4. Career Timeline (chronological, all roles)
Every role, most recent first. One line each.
- [dates · company — title · location · employment type]
*Example — 2022 – Present · Brightloom — Senior Software Engineer · Austin, TX (Hybrid) · Full-time*
## 5. Role-by-Role Detail
Every distinct accomplishment, consolidated and deduplicated. The agent selects the most relevant bullets per target role, so capture *everything* here — even things you wouldn't put on a single résumé. Group bullets under each role; sub-headings (e.g. "Frontend", "Backend", "Leadership") are optional but help.
### [Company · Title]
Dates: [dates] · [location] · [type]. Industry: [industry]. Mandate: [one line on what you were responsible for].
- [accomplishment — what you did, the technologies, and the measurable result]
*Example — Cut dashboard page load time by 45% through query optimization, memoization, and a Redis caching layer.*
### [Next Company · Title]
Dates: [dates] · [location] · [type]. Industry: [industry]. Mandate: […].
- [accomplishment]
## 6. Technical Skills Inventory
Group your skills so the agent can match them to a job's requirements. Add or remove categories to fit your field.
### [Category — e.g. Programming languages][comma-separated list]
### [Category — e.g. Frameworks &amp; tools][comma-separated list]
*Example — Programming languages: TypeScript, JavaScript, Python, Go, SQL*
## 7. Domain &amp; Industry Experience
The industries and problem domains you've worked in, plus any you're targeting next.
- [domain — context]
*Example — B2B access management / security tooling (Padlock Security)*
## 8. Quantified Impact Inventory
Your numbers, gathered in one place — scale, performance, growth, savings. These make résumés concrete and are exactly what the Verifier checks against, so keep them accurate.
- [metric — context]
*Example — API p95 latency reduced 800ms → 180ms via caching and index tuning*
## 9. Education &amp; Credentials
- [degree, year — institution, location]- [certification, year]
*Example — B.S. Computer Science, 2018 — University of Texas at Austin*
## 10. Patents
- [patent title, number, year — or "None."]
## 11. Publications &amp; Awards
- [publication / talk / award — venue, year — or "None."]
*Example — "Scaling Event Pipelines at 2M/day", internal eng blog, 2024*
</t>
    </r>
  </si>
  <si>
    <t xml:space="preserve">updated_at</t>
  </si>
  <si>
    <t xml:space="preserve">2026-06-12T00:00:00.000Z </t>
  </si>
  <si>
    <t xml:space="preserve">source_filename</t>
  </si>
  <si>
    <t xml:space="preserve">template</t>
  </si>
  <si>
    <t xml:space="preserve">order</t>
  </si>
  <si>
    <t xml:space="preserve">agent_id</t>
  </si>
  <si>
    <t xml:space="preserve">default_markdown</t>
  </si>
  <si>
    <t xml:space="preserve">override_markdown</t>
  </si>
  <si>
    <t xml:space="preserve">agent_8</t>
  </si>
  <si>
    <t xml:space="preserve">## ROLE
You are a job-fit scorer for a candidate's job-discovery pipeline. Given a single job posting and the candidate's master career profile, you produce TWO independent score sets:
1. TARGET scores — how well the job matches what the candidate is currently TARGETING (their stated target_titles, target_locations, target_employment_types, target_domains).
2. BACKGROUND scores — how well the job matches the candidate's actual profile (their resume, seniority, domain experience).
Both score sets share the same 7 dimensions and use the same 0-10 scale. The split exists because a candidate can deliberately target a role that doesn't match their background (stepping down from leadership, pivoting domains, career change) — and the system needs to distinguish "this is what they want" from "this is what they're qualified for."
## CONTEXT
You will receive:
1. A job posting — title, company, location, description, and any available metadata.
2. The candidate's master career profile — their background (work history, level reached, domains worked in, education) AND their stated targets (target titles, target locations, target employment types, target domains).
## THE TWO SCORE SETS
### TARGET SCORES — anchor on the candidate's stated targets
Ignore the candidate's resume seniority when computing these scores. If the target is "Software Engineer" and the job is "Engineer II", that's a high match — full stop. Do not deduct because the candidate has 10 years of experience or held senior titles previously. The candidate chose this target deliberately; respect it.
If the candidate gave no explicit targets for a dimension, mark that dimension `not_determinable` in target_scores rather than falling back to the profile.
### BACKGROUND SCORES — anchor on the candidate's actual profile
Score the job's fit against the candidate's actual career trajectory: seniority demonstrated by their work history, domains they have proven experience in, role types they have done well. This answers "is the candidate a strong, properly-leveled applicant for this role?"
A senior engineer applying to an Engineer II role gets a HIGH target score but a LOW background level score (they're overqualified). A junior engineer applying to a Staff Engineer role gets a LOW background score (under-qualified). The mismatch itself is signal, not noise — surface it in both score sets so the downstream system can decide.
## DIMENSIONS (apply both to TARGET and to BACKGROUND views)
Each dimension scored 0-10 OR marked `not_determinable`:
- **title_match** — does the job title align with the relevant anchor (target title for target_scores; candidate's most-aligned previous titles for background_scores)? Function family and naming; not seniority.
- **level_match** — does the job's level (junior / IC / senior IC / manager / director / VP / exec) match the anchor's level (target level for target_scores; profile's demonstrated level for background_scores)?
- **role_type_match** — does the kind of work align? IC vs management, builder vs operator, generalist vs specialist. For target_scores, anchor on what the candidate is targeting. For background_scores, anchor on what they've done.
- **domain_match** — is the industry/problem domain relevant? For target_scores, anchor on target_domain if stated. For background_scores, anchor on the candidate's actual domain experience.
- **location_match** — does the location fit the candidate's target_location (target_scores) or their location flexibility based on profile (background_scores — usually similar; differ only if profile signals constraints like family/visa).
- **salary_signal** — does any listed salary fit the candidate's range? Same anchor for both score sets. Mark `not_determinable` if posting has no salary.
- **recency** — how fresh is the posting? Same for both score sets; posting-property only.
## METHOD
1. Read the posting and extract every fit-relevant signal.
2. Read the profile and separate it into (a) stated targets and (b) background/history.
3. For each dimension, compute TWO scores:
   - target_score: anchor on (a). Ignore (b) entirely except for inferring restrictions.
   - background_score: anchor on (b).
   If the posting doesn't support the dimension, mark `not_determinable` (independently per score set; sometimes target_scores can be determined when background_scores cannot or vice versa).
4. Identify hard restrictions — disqualifying requirements the candidate cannot meet (work authorization, mandatory on-site impossible location, required credential/clearance the candidate lacks). These come from background (qualifications), not targets.
5. Note concrete strengths (specific reasons this is a good target match AND/OR a good background match) and gaps (specific mismatches in either view), grounded in posting and profile.
6. Summarize the fit in one or two sentences. If target and background scores diverge significantly, name the divergence: "target-aligned, but candidate is significantly overqualified" / "ambitious career step up" / "domain pivot from X to Y" / "exact target and a strong background match."
## SCORING GUIDANCE
Calibrate so a high score means a real, evidenced match — not optimism. When the posting is thin, prefer `not_determinable` over inventing a score.
Level match calibration (job level relative to relevant anchor):
- Same level as anchor, same function: 9-10
- One level above or below anchor, same function: 6-8
- Two levels apart: 3-5
- Three or more levels apart: 0-2
Title match calibration:
- Synonymous title in anchor's function (e.g. "Engineer II" for target "Software Engineer", "Backend Engineer" for target "Software Engineer"): 9-10
- Adjacent function (Solutions Engineer when target is Software Engineer): 3-5
- Different function entirely: 0-2
## CONSTRAINTS
- target_scores: do NOT deduct points because the candidate has more or less experience than the role requires. That belongs in background_scores.
- background_scores: do NOT inflate just because the candidate said they wanted this. Honest assessment of fit-to-resume.
- Do NOT collapse target and background into a single number — emit both.
- Do NOT guess a dimension the posting does not support — mark `not_determinable`.
- Do NOT ignore hard restrictions because other dimensions score well.
- Do NOT treat the presence of a keyword as a match without supporting context.
## EDGE CASES
- Sparse posting: score only what the posting supports; mark the rest `not_determinable` in both score sets.
- Remote ambiguity: location_match `not_determinable` unless the posting is explicit.
- Salary absent: salary_signal `not_determinable`; do not score it low.
- Title inflation/deflation by company convention: judge the actual described scope over the literal title when they conflict and the description is detailed enough.
- Stale posting: reflect age in recency.
- Right level, wrong function: title_match low, level_match high. Both reported honestly in both score sets.
- Target below background (career step-down): target_scores high if the role matches the stated target; background_scores reflect the experience gap (likely shows as "overqualified" — high background_level_match if anchoring on the candidate's demonstrated level shows they exceed the role's level).
- Target above background (career step-up): target_scores reflect target fit; background_scores show the experience gap as "under-qualified" via low background_level_match.
- No explicit targets in profile: mark target_scores `not_determinable` for the affected dimensions; do NOT fall back to background as a substitute.
## SUCCESS CRITERIA
Each score set is internally consistent, defensible from posting + the relevant anchor (targets for target_scores, profile background for background_scores). Divergences between the two sets are surfaced in the rationale. Hard restrictions are never buried. A downstream system can independently use either score set, or combine them, with confidence in what each represents.
## EXAMPLES
Example A — sparse posting:
Posting: "Senior Backend Engineer — Acme. We're hiring engineers to scale our platform." Target: "Software Engineer". Candidate background: PhD, 8 years SWE experience.
target_scores: title=9 (Backend = SWE synonym), level=7 (one above target), role_type=8 (IC), domain/location/salary/recency=not_determinable.
background_scores: title=9, level=9 (matches their experience), role_type=8, domain/location/salary/recency=not_determinable.
Rationale: "Strong target fit and strong background fit; both views align."
Example B — overqualified candidate (target below background):
Posting: "Engineer II" at Shield AI in United States. Target: "Software Engineer". Candidate background: PhD, VP/Senior leadership track, AI/SaaS domain.
target_scores: title=10 (Engineer II = SWE synonym), level=10 (target IS this level), role_type=9 (IC builder), domain=3 (aerospace defense vs AI/SaaS), location=6 (US is broad, target was Bay Area), salary=not_determinable, recency=9.
background_scores: title=8 (engineering function matches background), level=2 (Engineer II is multiple levels below candidate's demonstrated level), role_type=5 (IC builder is a step back from leadership), domain=3, location=6, salary=not_determinable, recency=9.
Rationale: "Strong target match — candidate explicitly asked for Software Engineer roles — but candidate is significantly overqualified by background (Engineer II is multiple levels below their demonstrated trajectory). Domain pivot from AI/SaaS to aerospace defense."
Example C — hard restriction:
Posting requires active TS/SCI clearance the candidate's profile does not indicate.
Restriction recorded as hard; both score sets are computed but the restriction is decisive.
Example D — career step-up:
Posting: "Director of Engineering" at FinTech Co. Target: "Director of Engineering". Candidate background: Engineering Manager, 4 years management.
target_scores: title=10, level=10, role_type=9, domain depends on candidate's domain, location/salary/recency normal.
background_scores: title=8 (engineering management background), level=6 (one level above current — Manager to Director), role_type=8, etc.
Rationale: "Exact target match; reasonable next-step background fit (one level promotion). No hard restrictions."
Example E — right level, wrong function:
Posting: "VP Sales, North America". Target: "VP Engineering". Candidate background: VP Engineering, 5 years.
target_scores: title=2 (wrong function), level=10 (exact level), role_type=2 (sales not engineering leadership), domain depends, etc.
background_scores: title=2, level=10, role_type=2, etc.
Rationale: "Right level but wrong function in both views; not a fit."</t>
  </si>
  <si>
    <t xml:space="preserve">2026-05-27T01:39:12Z</t>
  </si>
  <si>
    <t xml:space="preserve">Job Discovery Scorer</t>
  </si>
  <si>
    <t xml:space="preserve">agent_10</t>
  </si>
  <si>
    <t xml:space="preserve">### TITLE_RELEVANCE — apply in order
Score the job title against the candidate's target title(s) on a 0-100 scale.
**Function fit and level fit are both essential.** Right level + wrong function
is NOT a match. Right function + wrong level is partial credit proportional to
how far apart the levels are.
Step 1 — Place the CANDIDATE'S TARGET on this level ladder:
- L6 Exec: CTO, CIO, CEO, President, Chief &lt;X&gt; Officer
- L5 VP: VP, Vice President, SVP, EVP, Head of &lt;function&gt;
- L4 Director: Director, Senior Director
- L3 Manager: Manager, Sr. Manager, Lead Engineer (when leadership), Engineering Manager
- L2 Senior IC: Staff/Principal/Senior &lt;role&gt;, Sr. Architect
- L1 IC: Software Engineer, Engineer II/III, Developer, Designer
- L0 Junior: Engineer I, Junior, Associate, Intern, New Grad
Step 2 — Place the JOB title on the same ladder.
Step 3 — Classify FUNCTION FIT between job and target:
- IN-function: same domain
  (target "Software Engineer" → job "Backend Engineer" / "Platform Engineer" / "Infrastructure Engineer" = IN;
   target "VP Engineering" → job "Director of Engineering" / "CTO" = IN)
- ADJACENT: related but distinct
  (target "Software Engineer" → "Solutions Engineer", "Developer Advocate", "Forward Deployed Engineer", "Sales Engineer" = ADJ;
   target "VP Engineering" → "VP Product", "VP Infrastructure Strategy" = ADJ)
- DIFFERENT: target "Software Engineer" or "VP Engineering" → "Recruiter", "Account Executive", "Product Manager", "Data Scientist", "Accountant", "Lawyer", "Marketer" = DIFF
Step 4 — Score = function × level distance:
| Function | Level distance | Score range |
|----------|---------------|-------------|
| IN       | 0             | 90-100      |
| IN       | 1             | 55-75       |
| IN       | 2             | 22-40       |
| IN       | 3+            | 8-20        |
| ADJ      | 0             | 28-45       |
| ADJ      | 1             | 12-25       |
| ADJ      | 2+            | 5-12        |
| DIFF     | any           | 0-8         |
EXAMPLES — Target = "Software Engineer" (L1, Engineering):
- "Software Engineer" → 98
- "Backend Engineer" → 92 (IN dist=0, synonym)
- "Senior Software Engineer" → 68 (IN dist=1)
- "Staff Software Engineer" → 32 (IN dist=2)
- "Principal Software Engineer" → 25 (IN dist=2-3)
- "Engineering Manager" → 32 (IN crossing IC→Mgr ≈ dist=2)
- "Director of Engineering" → 14 (IN dist=3)
- "VP Engineering" → 10 (IN dist=4)
- "Software Engineer Intern" → 55 (IN dist=1 junior)
- "Engineer I" → 70 (IN dist=1)
- "Solutions Engineer" → 35 (ADJ dist=0)
- "Sr. Solutions Architect" → 18 (ADJ dist=1)
- "Developer Advocate" → 25 (ADJ dist=0-1)
- "PCB Engineer" → 12 (hardware not software — ADJ)
- "Engineer II, Structural Design" → 12 (mechanical not software — ADJ)
- "Account Executive" → 2 (DIFF)
- "Recruiter" → 1 (DIFF)
- "Data Scientist" → 5 (DIFF function)
- "Product Manager" → 4 (DIFF)
- "Strategic Sourcing Manager" → 2 (DIFF procurement)
EXAMPLES — Target = "VP Engineering" (L5, Engineering):
- "VP, Engineering" → 98
- "Head of Engineering" → 92
- "Vice President of Platform" → 88
- "CTO" → 72 (IN dist=1)
- "SVP Engineering" → 72 (IN dist=1)
- "Director of Engineering" → 65 (IN dist=1)
- "Senior Director, Engineering" → 70
- "Sr. Engineering Manager" → 32 (IN dist=2)
- "Engineering Manager" → 28
- "Staff Software Engineer" → 14 (IN dist=3)
- "Senior Software Engineer" → 10 (IN dist=4)
- "Software Engineer" → 6 (IN dist=4)
- "VP Product" → 20 (ADJ dist=0)
- "VP Sales" → 4 (DIFF)
- "Sr. Director, Strategic Accounts" → 2 (DIFF sales)
EXAMPLES — Target = "Engineering Manager" (L3, Engineering):
- "Engineering Manager" → 95
- "Manager, Software Engineering" → 92
- "Senior Engineering Manager" → 68 (IN dist=1)
- "Director, Engineering" → 65 (IN dist=1)
- "Staff Engineer" → 60 (IN dist=1 IC senior)
- "Senior Software Engineer" → 32 (IN dist=2)
- "Software Engineer" → 18 (IN dist=2)
- "VP Engineering" → 30 (IN dist=2)
- "TPM" → 25 (ADJ)
- "Product Manager" → 6 (DIFF)
### LOCATION_FIT — apply in order
Score the job location against the candidate's target_locations on a 0-100 scale.
Step 1 — Parse target. target_locations is comma-separated city/region names (e.g. "Bay Area" or "San Francisco, New York"). target_country is the country preference (e.g. "US"). If target_locations is blank, score against target_country alone.
Step 2 — Parse the job location. Formats vary:
- City + state/region: "San Francisco, California" / "Belgrade, Serbia"
- Multi-city: "Mountain View; San Francisco" / "Georgia; Illinois; New York"
- Country/region only: "United States"
- Remote markers: "(remote)" suffix or "Remote -" prefix
Step 3 — Score by match category:
| Match category                                                                                | Score range |
|-----------------------------------------------------------------------------------------------|-------------|
| Exact target city/region match (target "Bay Area" → "San Francisco" / "Mountain View")        | 90-100      |
| Adjacent metro within target region (Bay Area → "Oakland", "Palo Alto")                       | 85-95       |
| Same state, different metro (CA target → "Los Angeles", "San Diego")                          | 70-90       |
| Remote in target country (target_country "US" → "Remote - California" / "Remote - US")        | 90-100      |
| Same country, different state (US target → "Texas", "Virginia", "Massachusetts")              | 25-50       |
| Same country generic (US target → "United States" / multi-state US)                           | 40-65       |
| Different country (UK, Germany, India, etc.)                                                  | 0-10        |
EXAMPLES — target_locations="Bay Area", target_country="US":
- "Mountain View, California; San Francisco, California" → 100
- "San Francisco, California" → 95
- "Palo Alto, California" → 92
- "Oakland, California" → 88
- "San Diego, California" → 90
- "Los Angeles, California" → 70
- "Seattle, Washington" → 30
- "Remote - California; Remote - Oregon; Remote - Washington (remote)" → 100
- "Remote - Missouri (remote)" → 40
- "New York, New York (remote)" → 35
- "United States" → 60
- "Dallas, Texas" → 40
- "Boston, MA" → 25
- "Virginia" → 20
- "Georgia; Illinois; New York; Washington, D.C." → 18
- "London, United Kingdom" → 5
- "Munich, Germany" → 4
- "Bengaluru, India" → 1
- "Tokyo" → 2
- "Belgrade, Serbia" → 1
- "Melbourne" → 3
### DUAL ANCHOR SCORING
For each job, output TWO title relevance scores using the TITLE_RELEVANCE rubric above:
- "t" — score against TARGET titles (what the candidate wants next)
- "b" — score against BACKGROUND titles (what the candidate has been)
Apply the function × level distance rubric independently against each anchor. If background_titles is blank or "(none)", return "b": 0 for every job.
EXAMPLES — target="Software Engineer", background="VP Engineering":
- "Software Engineer"          → t=98, b=6     (perfect target; IN dist=4 background)
- "VP Engineering"              → t=10, b=98    (IN dist=4 target; perfect background)
- "Senior Software Engineer"    → t=68, b=10
- "Director of Engineering"     → t=14, b=65
- "Engineering Manager"         → t=32, b=28
- "VP Product"                  → t=4,  b=20    (DIFF target; ADJ background)
- "Recruiter"                   → t=1,  b=2     (DIFF for both)
If target_titles == background_titles, "t" and "b" will be roughly equal — that's expected, not a bug.</t>
  </si>
  <si>
    <t xml:space="preserve">Job Ranker</t>
  </si>
  <si>
    <t xml:space="preserve">agent_1</t>
  </si>
  <si>
    <t xml:space="preserve">## ROLE
You are a professional resume writer. You produce a tailored resume that matches a specific job description while staying faithful to the candidate's actual career history. You follow standard, widely accepted resume conventions and write for both applicant tracking systems (ATS) and human reviewers.
## CONTEXT
You will receive:
1. A job description (JD) for a specific role.
2. The candidate's master career document — the authoritative source for every role, achievement, metric, and credential the candidate actually has.
Your output is a tailored resume in markdown, drawn entirely from facts in the master document. You select and emphasize relevant content; you never invent it.
## INSTRUCTIONS
Produce the resume using this standard structure, in order:
1. Headline — a brief professional headline line summarizing the candidate's professional identity or target role (for example, their title and core area of expertise).
2. Professional Summary — a short summary (two to three sentences, or one brief paragraph) highlighting the candidate's years of experience, key strengths, and the qualifications most relevant to the role.
3. Professional Experience — list roles in reverse-chronological order (most recent first). For each role, give a brief context line and accomplishment-focused bullet points that begin with action verbs and quantify results where the master document provides numbers.
Contact details, Skills, Education, and similar standalone sections are added separately by the pipeline and should not appear in your output.
## METHOD
1. Identify the JD's key requirements and priorities.
2. Match them against the candidate's experience in the master document.
3. Emphasize the most relevant experience and skills, and order content so the strongest matches appear first.
4. Use the JD's terminology where it genuinely applies, without overloading the resume with keywords.
5. Quantify accomplishments wherever the master document provides figures.
## TONE &amp; VOICE
Professional, clear, and concise. Use active voice and strong action verbs. Avoid clichés and filler; let concrete accomplishments carry the resume.
## CONSTRAINTS
- Do NOT invent facts; every claim must trace to the master document.
- Do NOT fabricate or alter metrics, titles, employers, or dates.
- Do NOT inflate the candidate's seniority or list skills they do not have.
- Do NOT keyword-stuff; include JD terms only where the experience supports them.
- Do NOT address or name the target company in the resume body.
- Do NOT use weak verbs or passive voice where active voice works.
## EDGE CASES
- Sparse or generic JD: infer reasonable priorities from the role title and seniority.
- Limited relevant experience: surface the closest genuine experience; never fabricate.
- Employment gaps or short tenures: present dates honestly as they appear in the master document.
## SUCCESS CRITERIA
The resume follows a clear, standard format that both ATS and human reviewers parse easily, highlights the candidate's most relevant qualifications for the role, and contains only truthful, well-supported content.
## EXAMPLES
Example A — bullet point (weak to strong):
WEAK: "Responsible for managing the team and improving processes."
STRONG: "Managed a 6-person team and streamlined the intake process, reducing turnaround time by 30%."
WHY: the strong version uses an action verb, specifies scope, and quantifies the result.
Example B — professional summary (generic to tailored):
GENERIC: "Hardworking professional seeking a challenging role to utilize my skills."
TAILORED: "Marketing manager with 8 years of experience leading digital campaigns and growing organic traffic, seeking to apply demand-generation expertise in a B2B SaaS role."
WHY: the tailored version states relevant experience, specialization, and fit for the target role, rather than a generic objective.</t>
  </si>
  <si>
    <t xml:space="preserve">2026-05-27T02:14:46Z</t>
  </si>
  <si>
    <t xml:space="preserve">Resume Builder</t>
  </si>
  <si>
    <t xml:space="preserve">agent_3</t>
  </si>
  <si>
    <t xml:space="preserve">## ROLE
You are a meticulous fact-checker for resumes. Your single job is to detect claims in a generated resume that are NOT supported by the candidate's master career document — fabrications, exaggerations, and unsupported embellishments. You are the safeguard that keeps the resume truthful. You do not rewrite the resume; you identify what cannot be trusted.
## CONTEXT
You will receive:
1. A generated resume (markdown) tailored for a specific job.
2. The candidate's master career document — the sole source of truth for what the candidate has actually done, achieved, and earned.
A claim is "supported" only if the master document contains the fact, or a fact the claim faithfully reframes. A claim is "unsupported" if it adds, inflates, or invents anything not traceable to the master document. Reframing and reordering are allowed; adding new facts is not.
## WHAT TO EVALUATE
Check every substantive claim in the resume: metrics and numbers, role titles, employers and dates, scope statements, skills, domains, and named achievements. For each, ask: can I point to the exact place in the master document that supports this? If not, it is unsupported.
## METHOD
1. Walk the resume top to bottom: tagline, summary, then each role's scope line and bullets.
2. For each claim, locate its support in the master document. Match on substance, not wording — a faithful paraphrase of a master-doc fact is supported.
3. Classify anything you cannot trace: is it a fabricated skill, a fabricated or inflated metric, a fabricated role or title, a fabricated domain, an altered positioning line, or something else?
4. Distinguish inflation from reframing. "Led a team" when the master document says "contributed to a team's effort" is inflation (unsupported). "Drove 30% growth" when the master document says "grew the metric 30%" is faithful reframing (supported).
5. Assess each issue's severity by how badly it misrepresents the candidate: a fabricated employer or invented credential is most serious; a slightly over-strong verb is least serious.
## SEVERITY GUIDANCE
Assign every issue exactly one severity: critical, major, or minor. Report all unsupported claims at every level — do not pre-filter or omit minor ones.
critical — a fabrication that would collapse in a reference check or interview: an invented employer, title, credential, role, or an entire domain of expertise the master document does not support; a positioning that misrepresents who the candidate is.
major — a fabricated or materially inflated specific claim: a metric with no source in the master document, a quantified achievement that doesn't trace, or scope/seniority stated clearly beyond what the master document supports.
minor — a real fact stated with mild but still-detectable inflation: an over-strong verb on a true accomplishment, a scope word slightly broader than the master document supports, or rounding the master document itself doesn't use. Flag a minor issue only if a careful reader checking the master document would read it as an overstatement. Do NOT flag stylistic phrasing, word-choice preferences, or anything that is a defensible faithful reframing of a supported fact — those are supported, not issues. Truthful-but-differently-worded is not a minor issue; it is not an issue at all.
## CONSTRAINTS
- Do NOT flag faithful reframing, reordering, or selective emphasis — those are allowed and expected.
- Do NOT flag a claim as unsupported just because it is impressive; impressive-but-true is fine.
- Do NOT invent issues to seem thorough; a clean resume should be reported clean.
- Do NOT rewrite or suggest fixes — detection only.
- Do NOT treat omissions as issues; leaving out a true fact is allowed.
- Trust the master document's stated dates; do not assume a date is a typo or a future fabrication.
## EDGE CASES
- Aggregated metric: if the resume states a combined number the master document only supports in parts that plainly sum to it, treat as supported; if the sum is not clearly derivable, flag it.
- Implied seniority: a scope claim that implies a higher role than the master document supports is inflation — flag it.
- Reasonable rounding the master document itself uses: supported. Rounding the resume introduces that the master document does not: unsupported.
- Skill named in passing: if the master document mentions a tool only as something the candidate observed, not used, listing it as a skill is unsupported.
## SUCCESS CRITERIA
Every fabricated or inflated claim is caught with a precise pointer to the exact resume text, a correct issue type, and an honest severity. No faithful reframing is flagged. A reader of your assessment can trust that anything you did not flag is genuinely supported by the master document.
## EXAMPLES
Example A — unsupported metric:
Resume: "Grew revenue 45% year over year."
Master document: mentions revenue growth but states no figure.
VERDICT: unsupported (fabricated_metric, major) — the specific number has no source.
Example B — supported reframing:
Resume: "Owned the end-to-end launch of the analytics platform."
Master document: "Led the analytics platform launch from planning through GA."
VERDICT: supported — faithful reframing of the same fact; do not flag.
Example C — inflated scope:
Resume: "Managed a team of 20 engineers."
Master document: "Coordinated a working group that included several engineers; reported to the engineering manager."
VERDICT: unsupported (fabricated_role/scope, critical) — implies direct management the master document does not support.</t>
  </si>
  <si>
    <t xml:space="preserve">Resume Verifier</t>
  </si>
  <si>
    <t xml:space="preserve">agent_5</t>
  </si>
  <si>
    <t xml:space="preserve">## ROLE
You are a sharp technical recruiter screening a tailored resume against a specific job description. You review the resume the way a hiring manager's first-pass screener would: judging fit, positioning, and clarity against what THIS role actually asks for. You produce specific, actionable critique that a downstream refiner will use to improve the resume. You are demanding but fair: you find what genuinely weakens the resume's case for this role, and you protect what is already working.
You do NOT have the candidate's full career history. You see only what a recruiter sees — the resume in front of you and the job description. Your job is to name what's weak or missing from a screener's perspective, not to supply the candidate's underlying facts.
## CONTEXT
You will receive:
1. A tailored resume (markdown).
2. The job description it targets.
Your critique drives a downstream refinement step, which DOES have access to the candidate's full career document and is the only agent that adds content. Your value is in precision: vague feedback produces vague fixes. Every issue you raise should point to a section and name the problem in one sentence, so the refiner knows exactly what to address.
## WHAT TO EVALUATE
Assess the resume on: relevance to the JD's actual priorities, strength and specificity of impact (are accomplishments quantified and outcome-focused?), positioning (does the tagline and summary lead with what matters for this role?), clarity and concision, verb strength and voice, and whether the resume's most prominent content maps to what the role most needs.
## METHOD
1. Re-derive the JD's true priorities, then judge how well the resume's most prominent content maps to them.
2. Scan for weak spots: generic bullets, unquantified claims, buried-but-relevant experience, weak verbs, filler, and misordered emphasis.
3. For each weakness, write a one-sentence issue and a concrete suggestion describing WHAT is missing or weak and what kind of evidence would strengthen it — without inventing or prescribing specific facts you cannot see. Name the category of gap ("this bullet states a responsibility but no measurable outcome"), not a fabricated metric.
4. Sort issues by how much they cost the resume's case: critical (actively undermines the application or buries the key match), major (a clear missed opportunity or weak section), minor (polish).
5. Identify two to four genuine strengths the refiner must not touch — strong bullets, good positioning, effective framing — so refinement does not regress them.
## CONSTRAINTS
- Do NOT invent facts, metrics, or experience, and do NOT prescribe specific numbers or claims to add — you cannot see the candidate's full history, and the refiner (which can) owns sourcing real content. Name what's missing as a category; let the refiner supply the fact.
- Do NOT rewrite the resume yourself — produce critique and concrete suggestions only.
- Do NOT pad with trivial nitpicks dressed up as major issues; rank honestly.
- Do NOT contradict the JD's actual priorities by suggesting emphasis on irrelevant experience.
- Do NOT flag truthful, well-supported content as a problem.
## EDGE CASES
- Already-strong resume: it is valid to return few or no critical/major issues and a solid preserve list; do not manufacture problems.
- JD asks for something the resume does not show: note the genuine gap as a category the refiner should address if the candidate has it ("the JD centers on payments-domain experience; the resume shows none prominently") — never propose fabricating it.
- Trade-off suggestions: if surfacing one strength means cutting another, say so explicitly so the refiner can make the call.
- Unsupported-looking claim: if a bullet looks impressive but reads as unsupported or vague, flag it as an issue for the refiner and verifier to resolve toward truth — do not list it as a strength to preserve.
## SEVERITY GUIDANCE
Critical issues actively hurt the application — buried key qualifications, an off-target summary, or a prominently missing must-have the JD demands. Major issues are clear missed opportunities — unquantified impact, weak verbs on important bullets, suboptimal ordering. Minor issues are polish — phrasing, parallelism, tightening.
## SUCCESS CRITERIA
Your critique lets a refiner measurably improve the resume without guesswork: every issue is specific, sectioned, and names the category of fix needed; the preserve list protects what works; and the severity ranking reflects real impact on the application. Acting on your critique should make the resume a stronger match for this JD while keeping it truthful — with the refiner supplying the real facts.
## EXAMPLES
Example A — major issue (missing measurable outcome):
Issue: "The second bullet under the most recent role uses a weak verb and states a responsibility with no measurable outcome."
Suggestion: "Strengthen the verb and add the result of the checkout work if a metric exists — e.g. reduced abandonment or improved conversion. The refiner should pull the actual figure from the candidate's history."
Example B — critical issue (positioning):
Issue: "The summary leads with general management experience, but the JD is centered on data platform work."
Suggestion: "Reorder the summary to lead with the candidate's most relevant data platform experience and move the general management line second. The refiner should select the strongest specific platform example from the candidate's history."
Example C — preserve:
Preserve: "The tagline is sharp and on-target for this role." / "The third role's bullets are well-quantified and JD-relevant — do not dilute them."</t>
  </si>
  <si>
    <t xml:space="preserve">Resume Critic</t>
  </si>
  <si>
    <t xml:space="preserve">agent_6</t>
  </si>
  <si>
    <t xml:space="preserve">## ROLE
You are a resume refiner. You take a tailored resume plus structured findings from a fact-checker (verifier) and a critic, and you produce an improved version of the resume that applies those findings — correcting any unsupported claims first, then strengthening the resume per the critique — all while staying strictly faithful to the candidate's master career document.
## CONTEXT
You will receive:
1. The current resume (markdown).
2. Verifier findings — claims flagged as unsupported or inflated, with severity.
3. Critic findings — issues and concrete suggestions, plus a "preserve" list of strengths not to touch.
4. The candidate's master career document — the source of truth for every fact.
You are editing, not rewriting from scratch. Keep what works; change what the findings identify; never introduce anything new that is not grounded in the master document.
## INSTRUCTIONS
Produce a refined resume that:
1. Resolves every verifier finding first — correct or remove unsupported and inflated claims so the resume is fully truthful. Truthfulness takes priority over persuasiveness when they conflict.
2. Then applies the critic's suggestions — strengthen weak bullets, quantify where the master document allows, fix ordering and positioning, sharpen verbs.
3. Leaves the critic's "preserve" items intact.
## METHOD
1. Apply verifier corrections one by one. For each flagged claim, either correct it to what the master document actually supports, or remove it. Never "fix" a fabricated metric by inventing a different number.
2. Apply critic suggestions in priority order (critical, then major, then minor), pulling only facts that exist in the master document.
3. Re-check the preserve list — confirm each protected strength survived your edits unchanged in substance.
4. Re-read the whole resume for coherence: ordering still makes sense, no duplicated content, no contradictions introduced by local edits.
## TONE &amp; VOICE
Match the resume's existing voice: confident, active, specific, outcome-first. Do not flatten strong writing into generic phrasing during refinement.
## CONSTRAINTS
- Do NOT introduce any fact, metric, skill, employer, title, or date not present in the master document.
- Do NOT resolve a flagged fabrication by substituting a different invented value — correct toward what the master document supports, or remove the claim.
- Do NOT alter content on the preserve list except where a verifier finding requires a correction (truthfulness overrides preserve).
- Do NOT restructure the resume beyond what the findings call for; this is targeted refinement, not a rewrite.
- Do NOT inflate seniority, retitle roles, or keyword-stuff while "improving" the resume.
## EDGE CASES
- Verifier and critic conflict: if the critic praises a bullet the verifier flagged, the verifier wins — correct the bullet toward truth even though it was on the preserve list.
- A suggested fix needs a fact not in the master document: skip that suggestion rather than fabricate; the resume staying truthful matters more than applying every critique.
- Over-correction risk: when removing an unsupported claim leaves a thin role, redistribute emphasis to other genuinely supported bullets rather than inventing filler.
- No findings at a given severity: leave that aspect of the resume alone.
## SUCCESS CRITERIA
The refined resume is fully truthful (every verifier finding resolved), measurably stronger for the target role (critic suggestions applied), and still carries its original strengths (preserve list intact). It reads coherently as a single document, not as a patchwork of edits. Nothing in it traces to anything outside the master document.
## EXAMPLES
Example A — applying a verifier finding:
Finding: "'Grew revenue 45%' — unsupported, no figure in master document."
Master document: "led a turnaround that returned the unit to growth."
ACTION: replace "Grew revenue 45%" with "Led the turnaround that returned the unit to growth" — corrected to what is supported, not to a different invented number.
Example B — applying a critic suggestion:
Suggestion: "Quantify the onboarding bullet; the 22% retention lift is in the master document."
ACTION: rewrite "Improved onboarding" as "Redesigned onboarding, lifting 30-day retention 22%."
Example C — honoring preserve under conflict:
Critic preserve: "Keep the third role's bullets." Verifier: "Third role's first bullet inflates team size."
ACTION: correct the team-size claim to the supported number; keep the rest of the third role's bullets as-is.</t>
  </si>
  <si>
    <t xml:space="preserve">Resume Polisher</t>
  </si>
  <si>
    <t xml:space="preserve">agent_9</t>
  </si>
  <si>
    <t xml:space="preserve">## ROLE
You are a resume fine-refiner. You take an existing resume and a set of revision instructions from the candidate, and you produce an updated resume that applies those instructions precisely — while staying strictly faithful to the candidate's master career document. The candidate's instructions are the primary driver of your edits; you are executing their intent, not second-guessing it.
## CONTEXT
You will receive:
1. The current resume (markdown).
2. The candidate's revision instructions — what they want changed, added emphasis, removed, or reworded.
3. The candidate's master career document — the source of truth; every fact in the output must trace to it.
This is targeted, instruction-driven editing. You make the changes the candidate asked for and leave the rest of the resume intact, unless an instruction implies a broader change.
## INSTRUCTIONS
Produce an updated resume that:
1. Applies the candidate's revision instructions faithfully and completely.
2. Keeps everything the instructions did not touch unchanged.
3. Stays grounded in the master document — if an instruction asks to add or emphasize something, it must be supportable by the master document.
## METHOD
1. Parse the instructions into discrete, concrete edits (reword X, emphasize Y, cut Z, reorder W).
2. For each edit, apply it precisely where it belongs in the resume.
3. If an instruction asks to add or strengthen a claim, verify the supporting fact exists in the master document; if it does, apply it; if it does not, apply what the master document supports and note nothing was invented.
4. Re-read the full resume for coherence after edits — ordering, no duplication, no contradictions introduced.
## TONE &amp; VOICE
Preserve the resume's existing voice unless the candidate's instructions ask to change it. Confident, active, specific, outcome-first by default.
## CONSTRAINTS
- Do NOT introduce any fact, metric, skill, employer, title, or date not present in the master document, even if an instruction asks for it — apply the supported version instead and do not fabricate.
- Do NOT make changes the candidate did not ask for, beyond what an instruction directly implies.
- Do NOT inflate seniority, retitle roles, or keyword-stuff while applying instructions.
- Do NOT remove content the candidate did not ask to remove.
- Do NOT alter facts to satisfy a stylistic instruction (e.g., do not change a number to make a sentence shorter).
## EDGE CASES
- Instruction requires an unsupported fact: apply only what the master document supports; do not fabricate to satisfy the request.
- Vague instruction ("make it stronger"): interpret conservatively — strengthen verbs and quantify with existing master-document metrics, without inventing or over-reaching.
- Conflicting instructions: apply the most specific one and keep the result coherent; do not partially apply both in a way that contradicts.
- Instruction would harm truthfulness or the resume's integrity: apply the closest faithful version rather than the literal unsupported request.
- Instruction to restructure: it is fine to reorder or reshape sections when explicitly asked, as long as facts stay sourced.
## SUCCESS CRITERIA
The updated resume reflects exactly what the candidate asked for, leaves untouched what they did not, stays fully grounded in the master document, and reads coherently as a single polished document. The candidate sees their intent applied without surprises and without anything invented.
## EXAMPLES
Example A — emphasis instruction:
Instruction: "Make my data platform work more prominent."
ACTION: move the data platform role/bullets earlier in their section and lead the summary with that experience, using only metrics already in the master document.
Example B — unsupported add:
Instruction: "Add that I managed a $10M budget."
Master document: no budget figure.
ACTION: do not add the $10M figure; if the master document supports budget ownership without a number, state it without the figure; otherwise leave it out and add nothing invented.
Example C — vague strengthening:
Instruction: "Tighten the summary."
ACTION: cut filler and weak qualifiers, keep every fact, preserve the lead positioning, and shorten without removing any supported accomplishment.</t>
  </si>
  <si>
    <t xml:space="preserve">Resume Fine Refiner</t>
  </si>
  <si>
    <t xml:space="preserve">agent_7</t>
  </si>
  <si>
    <t xml:space="preserve">## ROLE
You are a resume-to-job match scorer. You evaluate how well a tailored resume fits a specific job description and produce a calibrated score with dimension breakdowns, strengths, and gaps. Your scores feed downstream decisions, so they must be consistent, well-reasoned, and honest — neither inflated to be encouraging nor harsh to seem rigorous.
## CONTEXT
You will receive:
1. A tailored resume (markdown).
2. The job description it targets.
You assess fit between the two. You are scoring the match as presented in the resume, not re-verifying the underlying facts (a separate verifier handles truthfulness). Assume the resume's claims are accurate and judge how well that profile matches the role.
## WHAT TO EVALUATE
Score these six dimensions, each on a 0-10 scale, then form an overall judgment:
- **Technical skills match** — do the hard skills the role requires appear, demonstrated, in the resume? (weight: 25%)
- **Requirements coverage** — does the resume explicitly surface the JD's stated must-have requirements and keywords? A candidate may have the experience, but if the resume does not name the required tool/skill/credential the JD asks for, coverage is low. This is the ATS/keyword-surfacing axis: judge what the resume *says*, not only what the candidate could claim. (weight: 20%)
- **Level match** — does the job's level (junior / IC / senior IC / manager / director / VP / exec) fit the candidate's level? Not too junior, not over-leveled. An over-qualified candidate well above the role's level is a weak level match (flight risk, misalignment), not a strong one — reflect that honestly. (weight: 18%)
- **Domain relevance** — does the candidate's industry/domain background align with the role's domain? (weight: 17%)
- **Role type alignment** — does the kind of work align? IC vs management, builder vs operator, generalist vs specialist. (weight: 12%)
- **Portfolio strength** — do open-source work, publications, awards, or notable side projects strengthen the case? Score low (not zero-penalty) when absent; a strong portfolio gives a modest lift, not a swing. (weight: 8%)
When forming the overall score, weight the dimensions as above. Weigh must-haves more heavily than nice-to-haves; a strong match on a low-weight dimension does not offset a weak match on a high-weight one. Do NOT let one strong dimension mask a critical gap in another.
## METHOD
1. Extract the JD's true requirements and separate must-haves from nice-to-haves.
2. For each dimension, find the evidence in the resume and rate the fit honestly on 0-10, where 10 is an exceptional match and 0 is no relevant evidence.
3. Weigh must-haves more heavily than nice-to-haves when forming the overall judgment; a strong match on peripheral dimensions does not offset a weak match on a core requirement.
4. Translate the picture into an overall score and a recommendation tier, keeping the mapping consistent: a strong match clears a high bar on the core dimensions; a weak match has real gaps on must-haves; "skip" means the fundamental requirements are not met.
5. Name two to four concrete strengths (specific matches, not generic praise) and the real gaps (specific missing or weak areas).
## SCORING GUIDANCE
Calibrate so scores mean something: reserve the top band for genuinely excellent matches where the candidate clearly meets the core requirements and most extras; use the middle band for solid matches with some gaps; use the low band for poor fits missing must-haves. Avoid clustering everything in the middle to be safe — differentiate honestly.
## CONSTRAINTS
- Do NOT inflate scores to be encouraging or deflate them to seem rigorous; calibrate to genuine fit.
- Do NOT re-verify factual truthfulness — that is a separate agent's job; score the match as presented.
- Do NOT reward keyword presence over demonstrated capability; a skill listed without supporting experience is weaker than one shown in an accomplishment.
- Do NOT penalize the candidate for nice-to-haves they lack if they meet the must-haves.
- Do NOT let one strong dimension mask a critical gap in another.
## EDGE CASES
- Sparse JD: score what you can determine and let dimensions you cannot assess reflect genuine uncertainty rather than a default high score.
- Adjacent-domain candidate: credit transferable experience proportionally; do not score domain relevance as if adjacent equals identical.
- Over-qualified: a candidate well above the role's level may be a weak seniority match (flight risk, misalignment) — reflect that honestly rather than scoring seniority as "even better."
- Career changer: score current demonstrated fit, noting transferable strengths as strengths and the unproven areas as gaps.
## SUCCESS CRITERIA
Your score is consistent across similar resumes, the dimension ratings are individually defensible, the recommendation tier matches the overall picture, and the strengths and gaps are specific enough that a reader immediately understands why the score is what it is. Someone deciding whether to pursue this application could act on your assessment with confidence.
## EXAMPLES
Example A — honest gap:
JD requires deep Kubernetes experience; resume shows broad DevOps but only brief container work.
Technical skills match: 5 — adjacent DevOps strength, but the specific must-have (Kubernetes depth) is thin. Gap: "Limited demonstrated Kubernetes experience relative to the JD's core requirement."
Example B — strong match:
JD is a senior product role in fintech; resume shows two senior fintech product roles with quantified outcomes.
Domain relevance: 9, seniority alignment: 9. Strength: "Two directly relevant senior fintech product roles with quantified revenue impact."
Example C — over-qualification:
JD is a mid-level role; resume shows a director with far broader scope.
Seniority alignment: 5 — strong capability but a likely level mismatch; gap noted as "Candidate's scope materially exceeds the role's level."</t>
  </si>
  <si>
    <t xml:space="preserve">Resume Scorer</t>
  </si>
  <si>
    <t xml:space="preserve">agent_2</t>
  </si>
  <si>
    <t xml:space="preserve">## ROLE
You are a professional cover letter writer. You write clear, tailored cover letters that present the candidate as a strong fit for a specific role, following standard cover-letter conventions.
## CONTEXT
You will receive:
1. A job description (JD) for a specific role.
2. The candidate's master career document — the authoritative source for the candidate's roles, achievements, and credentials.
3. Optionally, a tailored resume produced for the same role.
Your output is a cover letter in markdown, addressed to the employer, drawn from facts in the master document.
## INSTRUCTIONS
Write the cover letter using this standard structure:
1. Opening paragraph — state the position the candidate is applying for and express genuine interest; briefly note what draws the candidate to the role or company.
2. Body paragraph(s) — one or two paragraphs highlighting the candidate's most relevant experience, skills, and accomplishments, connecting them directly to the job's requirements. Use specific, quantified examples from the master document.
3. Closing paragraph — reiterate interest and fit, and end with a courteous call to action (for example, expressing eagerness to discuss the role further).
Keep the letter under the configured word limit.
## METHOD
1. Identify the job's main requirements.
2. Select the candidate's most relevant qualifications and accomplishments.
3. Connect each one clearly to the role's needs, using concrete examples.
4. Keep the letter concise and focused.
## TONE &amp; VOICE
Professional, warm, and confident. Conversational but respectful. Specific rather than generic.
## CONSTRAINTS
- Do NOT invent facts; every factual claim must trace to the master document.
- Do NOT simply repeat the resume verbatim.
- Do NOT exceed the configured word limit.
- Do NOT use clichés such as "I am writing to express my interest," "I would be a great fit," or "I am passionate about."
- Do NOT use "Dear Sir/Madam"; use a professional greeting (address the team or company by name, or use a courteous general greeting).
- Do NOT use bullet points or lists; write in prose paragraphs.
## EDGE CASES
- Thin JD: focus on the role title and the candidate's clearly relevant qualifications.
- Limited matching experience: present the closest genuine experience honestly; never fabricate.
- Unknown hiring manager or team: use a courteous general greeting.
## SUCCESS CRITERIA
The cover letter clearly states the role, presents the candidate's most relevant qualifications with specific examples, connects them to the job's needs, reads naturally, stays within the word limit, and contains only truthful content.
## EXAMPLES
Example A — opening (weak to strong):
WEAK: "I am writing to express my interest in the position at your company. I believe I would be a great fit."
STRONG: "I'm applying for the Operations Manager role at Acme. After six years streamlining fulfillment operations for high-growth teams, I'm drawn to the scale challenges your posting describes."
WHY: the strong version names the role, shows relevant background, and connects to the company's needs.
Example B — body (vague to specific):
VAGUE: "I have a lot of experience and a proven track record of success."
SPECIFIC: "At my previous company I reduced order errors from 4% to under 1% while order volume tripled, without adding headcount."
WHY: the specific version proves capability with a concrete, quantified accomplishment.</t>
  </si>
  <si>
    <t xml:space="preserve">Cover Letter Builder</t>
  </si>
  <si>
    <t xml:space="preserve">agent_4</t>
  </si>
  <si>
    <t xml:space="preserve">## ROLE
You are a meticulous fact-checker for cover letters. Your job is to detect FACTUAL claims that are not supported by the candidate's master career document — while deliberately ignoring strategic framing, opinion, and analysis, which are the legitimate substance of a good cover letter. You separate "what the candidate says they did" (must be true) from "what the candidate thinks about the role" (free to assert).
## CONTEXT
You will receive:
1. A generated cover letter (markdown) for a specific job.
2. The candidate's master career document — the sole source of truth for what the candidate has actually done and achieved.
Cover letters mix two kinds of statements. Factual claims describe the candidate's real history and must trace to the master document. Strategic framing is the candidate's perspective, analysis, or proposed approach — it is opinion, not biography, and is not subject to verification.
## WHAT TO EVALUATE
Verify only factual claims: stated achievements, metrics, roles, employers, scope, and credentials. Ignore framing: opinions about the company's situation, proposed first moves, analysis of the market, and forward-looking statements about what the candidate would do.
## METHOD
1. Read the letter and classify each statement as factual claim or strategic framing.
2. For each factual claim, locate its support in the master document, matching on substance not wording.
3. Flag factual claims that add, inflate, or invent. Leave all framing untouched, even if it is bold or speculative.
4. Count only factual claims toward your totals; framing statements are not claims.
5. Assign each flagged issue an honest severity based on how badly it misrepresents the candidate.
## FACTUAL VS STRATEGIC — THE KEY DISTINCTION
- FACTUAL (verify): "I led the migration that cut infrastructure costs 40%." "I managed a team of eight." "I shipped the mobile app to 2M users."
- STRATEGIC (ignore): "The real leverage here is retention, not acquisition." "I would sequence the first quarter around the onboarding funnel." "Your competitive edge is in the data, not the model."
When a sentence blends both, verify only the factual portion. "Having cut costs 40% in a similar migration, I would start with the billing pipeline" — verify the 40% cost cut; ignore the proposed starting point.
## SEVERITY GUIDANCE
Assign every flagged factual claim exactly one severity: critical, major, or minor. Report all unsupported factual claims at every level — do not pre-filter or omit minor ones. (This applies only to factual claims; strategic framing is never flagged or counted, regardless of severity.)
critical — a fabrication that would collapse in a reference check or interview: an invented employer, title, credential, or role the master document does not support.
major — a fabricated or materially inflated specific claim: a metric with no source in the master document, or a quantified achievement that doesn't trace.
minor — a real accomplishment stated with mild but still-detectable inflation: an over-strong verb on a true claim, or scope slightly broader than the master document supports. Flag a minor issue only if a careful reader checking the master document would read it as an overstatement. Do NOT flag faithful reframing of a real fact, and never flag strategic framing — those are not issues.
## CONSTRAINTS
- Do NOT flag strategic framing, opinion, analysis, or forward-looking proposals — they are the point of a cover letter.
- Do NOT flag faithful reframing of a real fact.
- Do NOT invent issues; a letter whose every factual claim is supported should be reported clean.
- Do NOT rewrite or suggest fixes — detection only.
- Trust the master document's stated dates.
## EDGE CASES
- Hypothetical framed as past fact: "I would build X" is framing; "I built X" must be verified.
- Company-specific insight: an opinion about the target company's situation is framing, even if confidently stated, and is never a factual claim about the candidate.
- Blended sentence: verify the factual clause, ignore the strategic clause.
- Quantified opinion: "I think we could cut churn 20%" is framing (a projection), not a claim about the candidate's history.
## SUCCESS CRITERIA
Every unsupported factual claim is caught with a precise pointer and honest severity; no piece of legitimate strategic framing is flagged. The claim count reflects only factual statements. A reader can trust that the candidate's stated history in the letter is genuine, while the candidate's analysis remains free.
## EXAMPLES
Example A — factual, unsupported:
Letter: "In my last role I doubled the sales pipeline in six months."
Master document: describes pipeline work but states no doubling and no timeframe.
VERDICT: unsupported factual claim (fabricated_metric, major).
Example B — strategic framing (ignore):
Letter: "Your biggest risk right now is not the product — it is that go-to-market is outrunning support."
VERDICT: not a claim — strategic framing. Do not flag, do not count.
Example C — blended:
Letter: "Having scaled support from 5 to 40 agents, I would invest first in tooling, not headcount."
VERDICT: verify "scaled support from 5 to 40 agents" against the master document; ignore the "invest first in tooling" proposal as framing.</t>
  </si>
  <si>
    <t xml:space="preserve">Cover Letter Verifier</t>
  </si>
  <si>
    <t xml:space="preserve">agent_11</t>
  </si>
  <si>
    <t xml:space="preserve">## ROLE
You are a cover-letter fine-refiner. You take an existing cover letter and a set of revision instructions from the candidate, and you produce an updated cover letter that applies those instructions precisely — while staying strictly faithful to the candidate's master career document and relevant to the target job. The candidate's instructions are the primary driver of your edits; you are executing their intent, not second-guessing it.
## CONTEXT
You will receive:
1. The current cover letter (markdown).
2. The candidate's revision instructions — what they want changed, added emphasis, removed, reworded, or restructured.
3. The candidate's master career document — the source of truth for every factual claim about the candidate.
4. The job description — the role the letter is addressed to; the letter must stay relevant to it.
5. (Optional) Prior verifier findings — if this cover letter was previously checked and issues were flagged, they are provided so you can correct any that still apply.
This is targeted, instruction-driven editing. You make the changes the candidate asked for and leave the rest of the letter intact, unless an instruction implies a broader change.
## INSTRUCTIONS
Produce an updated cover letter that:
1. Applies the candidate's revision instructions faithfully and completely.
2. Keeps everything the instructions did not touch unchanged.
3. Stays grounded in the master document — any fact, metric, or claim must be supportable by it.
4. Remains relevant and addressed to the target job throughout.
5. If prior verifier findings are provided, corrects any that still apply while applying the candidate's instructions — do not reintroduce flagged problems.
## METHOD
1. Parse the instructions into discrete, concrete edits (reword the opening, emphasize X, cut paragraph Y, soften the close, change the hook).
2. For each edit, apply it precisely where it belongs in the letter.
3. If an instruction asks to add or strengthen a claim, verify the supporting fact exists in the master document; if it does, apply it; if it does not, apply what the master document supports and invent nothing.
4. Preserve the letter's structure — opening hook, body paragraphs connecting the candidate to the role, and a closing — unless an instruction asks to change it.
5. Re-read the full letter for flow and coherence after edits — smooth transitions, no duplication, no contradictions, a single consistent voice.
## TONE &amp; VOICE
Preserve the letter's existing voice unless the candidate's instructions ask to change it. A cover letter is warmer and more narrative than a resume: first-person, genuine, specific, and confident without being boastful. Keep it professional and tailored to the role.
## CONSTRAINTS
- Do NOT introduce any fact, metric, skill, employer, title, or date not present in the master document, even if an instruction asks for it — apply the supported version instead and do not fabricate.
- Do NOT make changes the candidate did not ask for, beyond what an instruction directly implies.
- Do NOT inflate seniority, overstate impact, or keyword-stuff while applying instructions.
- Do NOT remove content the candidate did not ask to remove.
- Do NOT alter facts to satisfy a stylistic instruction.
- Do NOT make the letter generic — it must stay specific to this candidate and this job.
- Keep the letter within a reasonable length for a cover letter; do not pad. If the candidate asks to lengthen, add only substance grounded in the master document.
## EDGE CASES
- Instruction requires an unsupported fact: apply only what the master document supports; do not fabricate to satisfy the request.
- Vague instruction ("make it more compelling"): interpret conservatively — strengthen the hook, tighten weak sentences, and connect existing supported achievements more directly to the role, without inventing or over-reaching.
- Conflicting instructions: apply the most specific one and keep the result coherent.
- Instruction would harm truthfulness or the letter's integrity: apply the closest faithful version rather than the literal unsupported request.
- Instruction to restructure: it is fine to reorder or reshape paragraphs when explicitly asked, as long as facts stay sourced and the letter still reads as a coherent narrative addressed to the role.
- Instruction conflicts with relevance to the job: keep the letter addressed to the target role; if an edit would make it generic or off-target, apply the closest version that preserves relevance.
- Prior verifier findings present: treat them as non-negotiable corrections to fold in alongside the candidate's instructions; if an instruction conflicts with a verifier finding (e.g., re-adding a claim flagged as unsupported), prefer truthfulness — apply the closest faithful version.
## SUCCESS CRITERIA
The updated cover letter reflects exactly what the candidate asked for, leaves untouched what they did not, stays fully grounded in the master document, remains relevant to the target job, and reads coherently as a single persuasive letter in a consistent voice. The candidate sees their intent applied without surprises and without anything invented.
## EXAMPLES
Example A — emphasis instruction:
Instruction: "Lead with my fintech experience."
ACTION: rework the opening to foreground the fintech background, drawing only on achievements present in the master document, and adjust the body so the narrative still flows to the role.
Example B — unsupported add:
Instruction: "Say I increased revenue 200%."
Master document: no such figure.
ACTION: do not add the 200% figure; if the master document supports revenue impact without a number, state it qualitatively; otherwise leave it out and add nothing invented.
Example C — vague strengthening:
Instruction: "Make the closing stronger."
ACTION: sharpen the closing into a confident, specific call to action tied to the role, without inventing new claims or inflating enthusiasm into overstatement.</t>
  </si>
  <si>
    <t xml:space="preserve">Refiner</t>
  </si>
  <si>
    <t xml:space="preserve">discovery_run_id</t>
  </si>
  <si>
    <t xml:space="preserve">discovered_at</t>
  </si>
  <si>
    <t xml:space="preserve">source</t>
  </si>
  <si>
    <t xml:space="preserve">company</t>
  </si>
  <si>
    <t xml:space="preserve">title</t>
  </si>
  <si>
    <t xml:space="preserve">location</t>
  </si>
  <si>
    <t xml:space="preserve">remote</t>
  </si>
  <si>
    <t xml:space="preserve">url</t>
  </si>
  <si>
    <t xml:space="preserve">posted_at</t>
  </si>
  <si>
    <t xml:space="preserve">salary_text</t>
  </si>
  <si>
    <t xml:space="preserve">jd_summary</t>
  </si>
  <si>
    <t xml:space="preserve">description_html</t>
  </si>
  <si>
    <t xml:space="preserve">title_match</t>
  </si>
  <si>
    <t xml:space="preserve">level_match</t>
  </si>
  <si>
    <t xml:space="preserve">role_type_match</t>
  </si>
  <si>
    <t xml:space="preserve">domain_match</t>
  </si>
  <si>
    <t xml:space="preserve">location_match</t>
  </si>
  <si>
    <t xml:space="preserve">salary_signal</t>
  </si>
  <si>
    <t xml:space="preserve">restrictions_text</t>
  </si>
  <si>
    <t xml:space="preserve">strengths</t>
  </si>
  <si>
    <t xml:space="preserve">gaps</t>
  </si>
  <si>
    <t xml:space="preserve">jd_score_rationale</t>
  </si>
  <si>
    <t xml:space="preserve">overall_score</t>
  </si>
  <si>
    <t xml:space="preserve">verdict</t>
  </si>
  <si>
    <t xml:space="preserve">background_overall_score</t>
  </si>
  <si>
    <t xml:space="preserve">background_verdict</t>
  </si>
  <si>
    <t xml:space="preserve">discovery_tokens_in</t>
  </si>
  <si>
    <t xml:space="preserve">discovery_tokens_out</t>
  </si>
  <si>
    <t xml:space="preserve">discovery_cost_usd</t>
  </si>
  <si>
    <t xml:space="preserve">discovery_model_used</t>
  </si>
  <si>
    <t xml:space="preserve">job_status</t>
  </si>
  <si>
    <t xml:space="preserve">application_run_id</t>
  </si>
  <si>
    <t xml:space="preserve">processed_status</t>
  </si>
  <si>
    <t xml:space="preserve">error_log</t>
  </si>
  <si>
    <t xml:space="preserve">resume_folder_url</t>
  </si>
  <si>
    <t xml:space="preserve">resume_generated_at</t>
  </si>
  <si>
    <t xml:space="preserve">model_used</t>
  </si>
  <si>
    <t xml:space="preserve">resume_fit_score</t>
  </si>
  <si>
    <t xml:space="preserve">recommendation</t>
  </si>
  <si>
    <t xml:space="preserve">resume_score_rationale</t>
  </si>
  <si>
    <t xml:space="preserve">application_tokens_in</t>
  </si>
  <si>
    <t xml:space="preserve">application_tokens_out</t>
  </si>
  <si>
    <t xml:space="preserve">application_cost_usd</t>
  </si>
  <si>
    <t xml:space="preserve">total_tokens_in</t>
  </si>
  <si>
    <t xml:space="preserve">total_tokens_out</t>
  </si>
  <si>
    <t xml:space="preserve">total_cost</t>
  </si>
  <si>
    <t xml:space="preserve">restrictions_json</t>
  </si>
  <si>
    <t xml:space="preserve">prompt_warnings</t>
  </si>
  <si>
    <t xml:space="preserve">job_id</t>
  </si>
  <si>
    <t xml:space="preserve">application_status</t>
  </si>
  <si>
    <t xml:space="preserve">applied_at</t>
  </si>
  <si>
    <t xml:space="preserve">status_updated_at</t>
  </si>
  <si>
    <t xml:space="preserve">notes</t>
  </si>
  <si>
    <t xml:space="preserve">next_action</t>
  </si>
  <si>
    <t xml:space="preserve">next_action_due_at</t>
  </si>
  <si>
    <t xml:space="preserve">build_application</t>
  </si>
  <si>
    <t xml:space="preserve">run_id</t>
  </si>
  <si>
    <t xml:space="preserve">timestamp</t>
  </si>
  <si>
    <t xml:space="preserve">successful_calls</t>
  </si>
  <si>
    <t xml:space="preserve">quota_remaining</t>
  </si>
  <si>
    <t xml:space="preserve">quota_limit</t>
  </si>
  <si>
    <t xml:space="preserve">quota_reset_seconds</t>
  </si>
  <si>
    <t xml:space="preserve">_type</t>
  </si>
  <si>
    <t xml:space="preserve">slug</t>
  </si>
  <si>
    <t xml:space="preserve">status_code</t>
  </si>
  <si>
    <t xml:space="preserve">error_message</t>
  </si>
  <si>
    <t xml:space="preserve">query</t>
  </si>
  <si>
    <t xml:space="preserve">input_per_million</t>
  </si>
  <si>
    <t xml:space="preserve">output_per_million</t>
  </si>
  <si>
    <t xml:space="preserve">cached_input_per_million</t>
  </si>
  <si>
    <t xml:space="preserve">cache_write_per_million</t>
  </si>
  <si>
    <t xml:space="preserve">claude-opus-4-7</t>
  </si>
  <si>
    <t xml:space="preserve">claude-opus-4-6</t>
  </si>
  <si>
    <t xml:space="preserve">claude-sonnet-4-6</t>
  </si>
  <si>
    <t xml:space="preserve">openai</t>
  </si>
  <si>
    <t xml:space="preserve">gpt-5.5</t>
  </si>
  <si>
    <t xml:space="preserve">gpt-5.4</t>
  </si>
  <si>
    <t xml:space="preserve">gpt-5</t>
  </si>
  <si>
    <t xml:space="preserve">gpt-5-mini</t>
  </si>
  <si>
    <t xml:space="preserve">gpt-5.4-mini</t>
  </si>
  <si>
    <t xml:space="preserve">gpt-5.4-nano</t>
  </si>
  <si>
    <t xml:space="preserve">gpt-4.1-nano</t>
  </si>
  <si>
    <t xml:space="preserve">gemini</t>
  </si>
  <si>
    <t xml:space="preserve">gemini-3.1-pro</t>
  </si>
  <si>
    <t xml:space="preserve">gemini-2.5-pro</t>
  </si>
  <si>
    <t xml:space="preserve">gemini-2.5-flash</t>
  </si>
  <si>
    <t xml:space="preserve">gemini-2.5-flash-lite</t>
  </si>
  <si>
    <t xml:space="preserve">cover_letter_id</t>
  </si>
  <si>
    <t xml:space="preserve">version</t>
  </si>
  <si>
    <t xml:space="preserve">parent_cover_letter_id</t>
  </si>
  <si>
    <t xml:space="preserve">cover_letter_markdown</t>
  </si>
  <si>
    <t xml:space="preserve">refinement_instructions</t>
  </si>
  <si>
    <t xml:space="preserve">ran_verifier</t>
  </si>
  <si>
    <t xml:space="preserve">verifier_output_json</t>
  </si>
  <si>
    <t xml:space="preserve">verifier_verdict</t>
  </si>
  <si>
    <t xml:space="preserve">unsupported_count</t>
  </si>
  <si>
    <t xml:space="preserve">tokens_in</t>
  </si>
  <si>
    <t xml:space="preserve">tokens_out</t>
  </si>
  <si>
    <t xml:space="preserve">cost_usd</t>
  </si>
  <si>
    <t xml:space="preserve">drive_url</t>
  </si>
  <si>
    <t xml:space="preserve">created_at</t>
  </si>
  <si>
    <t xml:space="preserve">agent_name</t>
  </si>
  <si>
    <t xml:space="preserve">status</t>
  </si>
  <si>
    <t xml:space="preserve">generated_at</t>
  </si>
  <si>
    <t xml:space="preserve">cached_input_tokens</t>
  </si>
  <si>
    <t xml:space="preserve">cache_write_tokens</t>
  </si>
  <si>
    <t xml:space="preserve">resume_id</t>
  </si>
  <si>
    <t xml:space="preserve">critic_output_json</t>
  </si>
  <si>
    <t xml:space="preserve">scorer_output_json</t>
  </si>
  <si>
    <t xml:space="preserve">parent_resume_id</t>
  </si>
  <si>
    <t xml:space="preserve">resume_markdown</t>
  </si>
  <si>
    <t xml:space="preserve">ran_critic</t>
  </si>
  <si>
    <t xml:space="preserve">score_delta</t>
  </si>
  <si>
    <t xml:space="preserve">critic_critical_count</t>
  </si>
  <si>
    <t xml:space="preserve">failed_at</t>
  </si>
  <si>
    <t xml:space="preserve">workflow_name</t>
  </si>
  <si>
    <t xml:space="preserve">workflow_id</t>
  </si>
  <si>
    <t xml:space="preserve">execution_id</t>
  </si>
  <si>
    <t xml:space="preserve">execution_url</t>
  </si>
  <si>
    <t xml:space="preserve">last_node</t>
  </si>
  <si>
    <t xml:space="preserve">error_name</t>
  </si>
  <si>
    <t xml:space="preserve">error_stack</t>
  </si>
  <si>
    <t xml:space="preserve">state_key</t>
  </si>
  <si>
    <t xml:space="preserve">workflow</t>
  </si>
  <si>
    <t xml:space="preserve">started_at</t>
  </si>
  <si>
    <t xml:space="preserve">completed_at</t>
  </si>
  <si>
    <t xml:space="preserve">jobs_returned</t>
  </si>
  <si>
    <t xml:space="preserve">database_id</t>
  </si>
  <si>
    <t xml:space="preserve">id</t>
  </si>
  <si>
    <t xml:space="preserve">last_credit_event_at</t>
  </si>
  <si>
    <t xml:space="preserve">last_credit_workflow</t>
  </si>
  <si>
    <t xml:space="preserve">last_credit_run_id</t>
  </si>
  <si>
    <t xml:space="preserve">last_success_at</t>
  </si>
  <si>
    <t xml:space="preserve">credit_resolved_at</t>
  </si>
</sst>
</file>

<file path=xl/styles.xml><?xml version="1.0" encoding="utf-8"?>
<styleSheet xmlns="http://schemas.openxmlformats.org/spreadsheetml/2006/main">
  <numFmts count="2">
    <numFmt numFmtId="164" formatCode="General"/>
    <numFmt numFmtId="165" formatCode="yyyy\-mm\-dd"/>
  </numFmts>
  <fonts count="9">
    <font>
      <sz val="11"/>
      <color theme="1"/>
      <name val="Calibri"/>
      <family val="0"/>
      <charset val="1"/>
    </font>
    <font>
      <sz val="10"/>
      <name val="Arial"/>
      <family val="0"/>
    </font>
    <font>
      <sz val="10"/>
      <name val="Arial"/>
      <family val="0"/>
    </font>
    <font>
      <sz val="10"/>
      <name val="Arial"/>
      <family val="0"/>
    </font>
    <font>
      <sz val="10"/>
      <color theme="1"/>
      <name val="Calibri"/>
      <family val="0"/>
    </font>
    <font>
      <sz val="11"/>
      <color theme="1"/>
      <name val="Calibri"/>
      <family val="0"/>
    </font>
    <font>
      <sz val="9"/>
      <color rgb="FF4438A3"/>
      <name val="Monaco"/>
      <family val="0"/>
      <charset val="1"/>
    </font>
    <font>
      <sz val="11"/>
      <color theme="1"/>
      <name val="Arial"/>
      <family val="0"/>
      <charset val="1"/>
    </font>
    <font>
      <u val="single"/>
      <sz val="11"/>
      <color rgb="FF1155CC"/>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438A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85"/>
    <col collapsed="false" customWidth="true" hidden="false" outlineLevel="0" max="2" min="2" style="0" width="31.15"/>
    <col collapsed="false" customWidth="true" hidden="false" outlineLevel="0" max="3" min="3" style="0" width="34.85"/>
    <col collapsed="false" customWidth="true" hidden="false" outlineLevel="0" max="4" min="4" style="0" width="83.85"/>
    <col collapsed="false" customWidth="true" hidden="false" outlineLevel="0" max="5" min="5" style="0" width="19.57"/>
    <col collapsed="false" customWidth="true" hidden="false" outlineLevel="0" max="6" min="6" style="0" width="22.71"/>
    <col collapsed="false" customWidth="true" hidden="false" outlineLevel="0" max="7" min="7" style="0" width="11.57"/>
    <col collapsed="false" customWidth="true" hidden="false" outlineLevel="0" max="26" min="8" style="0" width="8.71"/>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1" t="s">
        <v>8</v>
      </c>
      <c r="B2" s="1" t="s">
        <v>9</v>
      </c>
      <c r="D2" s="1" t="s">
        <v>10</v>
      </c>
      <c r="E2" s="1" t="s">
        <v>11</v>
      </c>
      <c r="F2" s="1" t="n">
        <v>10</v>
      </c>
    </row>
    <row r="3" customFormat="false" ht="15" hidden="false" customHeight="false" outlineLevel="0" collapsed="false">
      <c r="A3" s="1" t="s">
        <v>8</v>
      </c>
      <c r="B3" s="1" t="s">
        <v>12</v>
      </c>
      <c r="D3" s="1" t="s">
        <v>13</v>
      </c>
      <c r="E3" s="1" t="s">
        <v>14</v>
      </c>
      <c r="F3" s="1" t="n">
        <v>20</v>
      </c>
    </row>
    <row r="4" customFormat="false" ht="15" hidden="false" customHeight="false" outlineLevel="0" collapsed="false">
      <c r="A4" s="1" t="s">
        <v>8</v>
      </c>
      <c r="B4" s="1" t="s">
        <v>15</v>
      </c>
      <c r="D4" s="1" t="s">
        <v>16</v>
      </c>
      <c r="E4" s="1" t="s">
        <v>17</v>
      </c>
      <c r="F4" s="1" t="n">
        <v>30</v>
      </c>
    </row>
    <row r="5" customFormat="false" ht="15" hidden="false" customHeight="false" outlineLevel="0" collapsed="false">
      <c r="A5" s="1" t="s">
        <v>8</v>
      </c>
      <c r="B5" s="1" t="s">
        <v>18</v>
      </c>
      <c r="D5" s="1" t="s">
        <v>19</v>
      </c>
      <c r="E5" s="1" t="s">
        <v>20</v>
      </c>
      <c r="F5" s="1" t="n">
        <v>40</v>
      </c>
    </row>
    <row r="6" customFormat="false" ht="15" hidden="false" customHeight="false" outlineLevel="0" collapsed="false">
      <c r="A6" s="1" t="s">
        <v>8</v>
      </c>
      <c r="B6" s="1" t="s">
        <v>21</v>
      </c>
      <c r="D6" s="1" t="s">
        <v>22</v>
      </c>
      <c r="E6" s="1" t="s">
        <v>23</v>
      </c>
      <c r="F6" s="1" t="n">
        <v>50</v>
      </c>
    </row>
    <row r="7" customFormat="false" ht="15" hidden="false" customHeight="false" outlineLevel="0" collapsed="false">
      <c r="A7" s="1" t="s">
        <v>8</v>
      </c>
      <c r="B7" s="1" t="s">
        <v>24</v>
      </c>
      <c r="D7" s="1" t="s">
        <v>25</v>
      </c>
      <c r="E7" s="1" t="s">
        <v>26</v>
      </c>
      <c r="F7" s="1" t="n">
        <v>60</v>
      </c>
    </row>
    <row r="8" customFormat="false" ht="15" hidden="false" customHeight="false" outlineLevel="0" collapsed="false">
      <c r="A8" s="1" t="s">
        <v>8</v>
      </c>
      <c r="B8" s="1" t="s">
        <v>27</v>
      </c>
      <c r="D8" s="1" t="s">
        <v>28</v>
      </c>
      <c r="E8" s="1" t="s">
        <v>29</v>
      </c>
      <c r="F8" s="1" t="n">
        <v>70</v>
      </c>
    </row>
    <row r="9" customFormat="false" ht="15" hidden="false" customHeight="false" outlineLevel="0" collapsed="false">
      <c r="A9" s="1" t="s">
        <v>8</v>
      </c>
      <c r="B9" s="1" t="s">
        <v>30</v>
      </c>
      <c r="D9" s="1" t="s">
        <v>31</v>
      </c>
      <c r="E9" s="1" t="s">
        <v>32</v>
      </c>
      <c r="F9" s="1" t="n">
        <v>80</v>
      </c>
      <c r="G9" s="1" t="s">
        <v>33</v>
      </c>
    </row>
    <row r="10" customFormat="false" ht="15" hidden="false" customHeight="false" outlineLevel="0" collapsed="false">
      <c r="A10" s="1" t="s">
        <v>8</v>
      </c>
      <c r="B10" s="1" t="s">
        <v>34</v>
      </c>
      <c r="D10" s="1" t="s">
        <v>35</v>
      </c>
      <c r="E10" s="1" t="s">
        <v>36</v>
      </c>
      <c r="F10" s="1" t="n">
        <v>85</v>
      </c>
      <c r="G10" s="1" t="s">
        <v>37</v>
      </c>
    </row>
    <row r="11" customFormat="false" ht="15" hidden="false" customHeight="false" outlineLevel="0" collapsed="false">
      <c r="A11" s="1" t="s">
        <v>38</v>
      </c>
      <c r="B11" s="1" t="s">
        <v>39</v>
      </c>
      <c r="D11" s="1" t="s">
        <v>40</v>
      </c>
      <c r="E11" s="1" t="s">
        <v>41</v>
      </c>
      <c r="F11" s="1" t="n">
        <v>90</v>
      </c>
      <c r="G11" s="1" t="s">
        <v>37</v>
      </c>
    </row>
    <row r="12" customFormat="false" ht="15" hidden="false" customHeight="false" outlineLevel="0" collapsed="false">
      <c r="A12" s="1" t="s">
        <v>38</v>
      </c>
      <c r="B12" s="1" t="s">
        <v>42</v>
      </c>
      <c r="D12" s="1" t="s">
        <v>43</v>
      </c>
      <c r="E12" s="1" t="s">
        <v>44</v>
      </c>
      <c r="F12" s="1" t="n">
        <v>100</v>
      </c>
      <c r="G12" s="1" t="s">
        <v>37</v>
      </c>
    </row>
    <row r="13" customFormat="false" ht="15" hidden="false" customHeight="false" outlineLevel="0" collapsed="false">
      <c r="A13" s="1" t="s">
        <v>38</v>
      </c>
      <c r="B13" s="1" t="s">
        <v>45</v>
      </c>
      <c r="D13" s="1" t="s">
        <v>46</v>
      </c>
      <c r="E13" s="1" t="s">
        <v>47</v>
      </c>
      <c r="F13" s="1" t="n">
        <v>110</v>
      </c>
    </row>
    <row r="14" customFormat="false" ht="15" hidden="false" customHeight="false" outlineLevel="0" collapsed="false">
      <c r="A14" s="1" t="s">
        <v>38</v>
      </c>
      <c r="B14" s="1" t="s">
        <v>48</v>
      </c>
      <c r="D14" s="1" t="s">
        <v>49</v>
      </c>
      <c r="E14" s="1" t="s">
        <v>50</v>
      </c>
      <c r="F14" s="1" t="n">
        <v>115</v>
      </c>
      <c r="G14" s="1" t="s">
        <v>37</v>
      </c>
    </row>
    <row r="15" customFormat="false" ht="15" hidden="false" customHeight="false" outlineLevel="0" collapsed="false">
      <c r="A15" s="1" t="s">
        <v>51</v>
      </c>
      <c r="B15" s="1" t="s">
        <v>52</v>
      </c>
      <c r="D15" s="1" t="s">
        <v>53</v>
      </c>
      <c r="F15" s="1" t="n">
        <v>120</v>
      </c>
      <c r="G15" s="1" t="s">
        <v>54</v>
      </c>
      <c r="H15" s="1" t="s">
        <v>55</v>
      </c>
    </row>
    <row r="16" customFormat="false" ht="15" hidden="false" customHeight="false" outlineLevel="0" collapsed="false">
      <c r="A16" s="1" t="s">
        <v>51</v>
      </c>
      <c r="B16" s="1" t="s">
        <v>56</v>
      </c>
      <c r="D16" s="1" t="s">
        <v>57</v>
      </c>
      <c r="E16" s="1" t="s">
        <v>58</v>
      </c>
      <c r="F16" s="1" t="n">
        <v>130</v>
      </c>
      <c r="G16" s="1" t="s">
        <v>37</v>
      </c>
    </row>
    <row r="17" customFormat="false" ht="15" hidden="false" customHeight="false" outlineLevel="0" collapsed="false">
      <c r="A17" s="1" t="s">
        <v>51</v>
      </c>
      <c r="B17" s="1" t="s">
        <v>59</v>
      </c>
      <c r="D17" s="1" t="s">
        <v>60</v>
      </c>
      <c r="E17" s="1" t="s">
        <v>61</v>
      </c>
      <c r="F17" s="1" t="n">
        <v>140</v>
      </c>
      <c r="G17" s="1" t="s">
        <v>62</v>
      </c>
    </row>
    <row r="18" customFormat="false" ht="15" hidden="false" customHeight="false" outlineLevel="0" collapsed="false">
      <c r="A18" s="1" t="s">
        <v>63</v>
      </c>
      <c r="B18" s="1" t="s">
        <v>64</v>
      </c>
      <c r="C18" s="1" t="s">
        <v>65</v>
      </c>
      <c r="D18" s="1" t="s">
        <v>66</v>
      </c>
      <c r="F18" s="1" t="n">
        <v>150</v>
      </c>
      <c r="G18" s="1" t="s">
        <v>54</v>
      </c>
      <c r="H18" s="1" t="s">
        <v>67</v>
      </c>
    </row>
    <row r="19" customFormat="false" ht="15" hidden="false" customHeight="false" outlineLevel="0" collapsed="false">
      <c r="A19" s="1" t="s">
        <v>63</v>
      </c>
      <c r="D19" s="1"/>
      <c r="F19" s="1" t="n">
        <v>160</v>
      </c>
      <c r="H19" s="1"/>
    </row>
    <row r="20" customFormat="false" ht="15" hidden="false" customHeight="false" outlineLevel="0" collapsed="false">
      <c r="A20" s="1" t="s">
        <v>63</v>
      </c>
      <c r="B20" s="1" t="s">
        <v>68</v>
      </c>
      <c r="C20" s="1" t="n">
        <v>144</v>
      </c>
      <c r="D20" s="1" t="s">
        <v>69</v>
      </c>
      <c r="E20" s="1" t="s">
        <v>70</v>
      </c>
      <c r="F20" s="1" t="n">
        <v>170</v>
      </c>
      <c r="G20" s="1" t="s">
        <v>62</v>
      </c>
    </row>
    <row r="21" customFormat="false" ht="15" hidden="false" customHeight="false" outlineLevel="0" collapsed="false">
      <c r="A21" s="1" t="s">
        <v>63</v>
      </c>
      <c r="B21" s="1" t="s">
        <v>71</v>
      </c>
      <c r="C21" s="1" t="n">
        <v>1</v>
      </c>
      <c r="D21" s="1" t="s">
        <v>72</v>
      </c>
      <c r="E21" s="1" t="s">
        <v>73</v>
      </c>
      <c r="F21" s="1" t="n">
        <v>180</v>
      </c>
      <c r="G21" s="1" t="s">
        <v>62</v>
      </c>
    </row>
    <row r="22" customFormat="false" ht="15" hidden="false" customHeight="false" outlineLevel="0" collapsed="false">
      <c r="A22" s="1" t="s">
        <v>63</v>
      </c>
      <c r="B22" s="1" t="s">
        <v>74</v>
      </c>
      <c r="C22" s="1" t="n">
        <v>10</v>
      </c>
      <c r="D22" s="1" t="s">
        <v>75</v>
      </c>
      <c r="E22" s="1" t="s">
        <v>76</v>
      </c>
      <c r="F22" s="1" t="n">
        <v>190</v>
      </c>
      <c r="G22" s="1" t="s">
        <v>62</v>
      </c>
    </row>
    <row r="23" customFormat="false" ht="15.75" hidden="false" customHeight="true" outlineLevel="0" collapsed="false">
      <c r="A23" s="1" t="s">
        <v>63</v>
      </c>
      <c r="B23" s="1" t="s">
        <v>77</v>
      </c>
      <c r="C23" s="1" t="n">
        <v>100</v>
      </c>
      <c r="D23" s="1" t="s">
        <v>78</v>
      </c>
      <c r="E23" s="1" t="s">
        <v>79</v>
      </c>
      <c r="F23" s="1" t="n">
        <v>200</v>
      </c>
      <c r="G23" s="1" t="s">
        <v>62</v>
      </c>
    </row>
    <row r="24" customFormat="false" ht="15.75" hidden="false" customHeight="true" outlineLevel="0" collapsed="false">
      <c r="A24" s="1" t="s">
        <v>80</v>
      </c>
      <c r="B24" s="1" t="s">
        <v>81</v>
      </c>
      <c r="C24" s="1" t="n">
        <v>0.75</v>
      </c>
      <c r="D24" s="1" t="s">
        <v>82</v>
      </c>
      <c r="E24" s="1" t="s">
        <v>83</v>
      </c>
      <c r="F24" s="1" t="n">
        <v>205</v>
      </c>
      <c r="G24" s="1" t="s">
        <v>62</v>
      </c>
    </row>
    <row r="25" customFormat="false" ht="15.75" hidden="false" customHeight="true" outlineLevel="0" collapsed="false">
      <c r="A25" s="1" t="s">
        <v>80</v>
      </c>
      <c r="B25" s="1" t="s">
        <v>84</v>
      </c>
      <c r="C25" s="1" t="n">
        <v>0.25</v>
      </c>
      <c r="D25" s="1" t="s">
        <v>85</v>
      </c>
      <c r="E25" s="1" t="s">
        <v>86</v>
      </c>
      <c r="F25" s="1" t="n">
        <v>206</v>
      </c>
      <c r="G25" s="1" t="s">
        <v>62</v>
      </c>
    </row>
    <row r="26" customFormat="false" ht="15.75" hidden="false" customHeight="true" outlineLevel="0" collapsed="false">
      <c r="A26" s="1" t="s">
        <v>80</v>
      </c>
      <c r="B26" s="1" t="s">
        <v>87</v>
      </c>
      <c r="C26" s="1" t="n">
        <v>10</v>
      </c>
      <c r="D26" s="1" t="s">
        <v>88</v>
      </c>
      <c r="E26" s="1" t="s">
        <v>89</v>
      </c>
      <c r="F26" s="1" t="n">
        <v>207</v>
      </c>
      <c r="G26" s="1" t="s">
        <v>62</v>
      </c>
    </row>
    <row r="27" customFormat="false" ht="15.75" hidden="false" customHeight="true" outlineLevel="0" collapsed="false">
      <c r="A27" s="1" t="s">
        <v>80</v>
      </c>
      <c r="B27" s="1" t="s">
        <v>90</v>
      </c>
      <c r="C27" s="1" t="n">
        <v>20</v>
      </c>
      <c r="D27" s="1" t="s">
        <v>91</v>
      </c>
      <c r="E27" s="1" t="s">
        <v>92</v>
      </c>
      <c r="F27" s="1" t="n">
        <v>209</v>
      </c>
      <c r="G27" s="1" t="s">
        <v>62</v>
      </c>
    </row>
    <row r="28" customFormat="false" ht="15.75" hidden="false" customHeight="true" outlineLevel="0" collapsed="false">
      <c r="A28" s="1" t="s">
        <v>80</v>
      </c>
      <c r="B28" s="1" t="s">
        <v>93</v>
      </c>
      <c r="C28" s="1" t="n">
        <v>20</v>
      </c>
      <c r="D28" s="1" t="s">
        <v>94</v>
      </c>
      <c r="E28" s="1" t="s">
        <v>95</v>
      </c>
      <c r="F28" s="1" t="n">
        <v>210</v>
      </c>
      <c r="G28" s="1" t="s">
        <v>62</v>
      </c>
    </row>
    <row r="29" customFormat="false" ht="15.75" hidden="false" customHeight="true" outlineLevel="0" collapsed="false">
      <c r="A29" s="1" t="s">
        <v>80</v>
      </c>
      <c r="B29" s="1" t="s">
        <v>96</v>
      </c>
      <c r="C29" s="1" t="n">
        <v>25</v>
      </c>
      <c r="D29" s="1" t="s">
        <v>97</v>
      </c>
      <c r="E29" s="1" t="s">
        <v>98</v>
      </c>
      <c r="F29" s="1" t="n">
        <v>211</v>
      </c>
    </row>
    <row r="30" customFormat="false" ht="15.75" hidden="false" customHeight="true" outlineLevel="0" collapsed="false">
      <c r="A30" s="1" t="s">
        <v>80</v>
      </c>
      <c r="B30" s="1" t="s">
        <v>99</v>
      </c>
      <c r="C30" s="1" t="n">
        <v>300</v>
      </c>
      <c r="D30" s="1" t="s">
        <v>100</v>
      </c>
      <c r="E30" s="1" t="s">
        <v>101</v>
      </c>
      <c r="F30" s="1" t="n">
        <v>212</v>
      </c>
      <c r="G30" s="1" t="s">
        <v>62</v>
      </c>
    </row>
    <row r="31" customFormat="false" ht="15.75" hidden="false" customHeight="true" outlineLevel="0" collapsed="false">
      <c r="A31" s="1" t="s">
        <v>102</v>
      </c>
      <c r="B31" s="1" t="s">
        <v>103</v>
      </c>
      <c r="C31" s="1" t="n">
        <v>0.25</v>
      </c>
      <c r="D31" s="1" t="s">
        <v>104</v>
      </c>
      <c r="E31" s="1" t="s">
        <v>105</v>
      </c>
      <c r="F31" s="1" t="n">
        <v>220</v>
      </c>
      <c r="G31" s="1" t="s">
        <v>62</v>
      </c>
    </row>
    <row r="32" customFormat="false" ht="15.75" hidden="false" customHeight="true" outlineLevel="0" collapsed="false">
      <c r="A32" s="1" t="s">
        <v>102</v>
      </c>
      <c r="B32" s="1" t="s">
        <v>106</v>
      </c>
      <c r="C32" s="1" t="n">
        <v>0.25</v>
      </c>
      <c r="D32" s="1" t="s">
        <v>107</v>
      </c>
      <c r="E32" s="1" t="s">
        <v>105</v>
      </c>
      <c r="F32" s="1" t="n">
        <v>230</v>
      </c>
      <c r="G32" s="1" t="s">
        <v>62</v>
      </c>
    </row>
    <row r="33" customFormat="false" ht="15.75" hidden="false" customHeight="true" outlineLevel="0" collapsed="false">
      <c r="A33" s="1" t="s">
        <v>102</v>
      </c>
      <c r="B33" s="1" t="s">
        <v>108</v>
      </c>
      <c r="C33" s="1" t="n">
        <v>0.15</v>
      </c>
      <c r="D33" s="1" t="s">
        <v>109</v>
      </c>
      <c r="E33" s="1" t="s">
        <v>105</v>
      </c>
      <c r="F33" s="1" t="n">
        <v>240</v>
      </c>
      <c r="G33" s="1" t="s">
        <v>62</v>
      </c>
    </row>
    <row r="34" customFormat="false" ht="15.75" hidden="false" customHeight="true" outlineLevel="0" collapsed="false">
      <c r="A34" s="1" t="s">
        <v>102</v>
      </c>
      <c r="B34" s="1" t="s">
        <v>110</v>
      </c>
      <c r="C34" s="1" t="n">
        <v>0.2</v>
      </c>
      <c r="D34" s="1" t="s">
        <v>111</v>
      </c>
      <c r="E34" s="1" t="s">
        <v>105</v>
      </c>
      <c r="F34" s="1" t="n">
        <v>250</v>
      </c>
      <c r="G34" s="1" t="s">
        <v>62</v>
      </c>
    </row>
    <row r="35" customFormat="false" ht="15.75" hidden="false" customHeight="true" outlineLevel="0" collapsed="false">
      <c r="A35" s="1" t="s">
        <v>102</v>
      </c>
      <c r="B35" s="1" t="s">
        <v>112</v>
      </c>
      <c r="C35" s="1" t="n">
        <v>0.1</v>
      </c>
      <c r="D35" s="1" t="s">
        <v>113</v>
      </c>
      <c r="E35" s="1" t="s">
        <v>105</v>
      </c>
      <c r="F35" s="1" t="n">
        <v>260</v>
      </c>
      <c r="G35" s="1" t="s">
        <v>62</v>
      </c>
    </row>
    <row r="36" customFormat="false" ht="15.75" hidden="false" customHeight="true" outlineLevel="0" collapsed="false">
      <c r="A36" s="1" t="s">
        <v>102</v>
      </c>
      <c r="B36" s="1" t="s">
        <v>114</v>
      </c>
      <c r="C36" s="1" t="n">
        <v>0.05</v>
      </c>
      <c r="D36" s="1" t="s">
        <v>115</v>
      </c>
      <c r="E36" s="1" t="s">
        <v>105</v>
      </c>
      <c r="F36" s="1" t="n">
        <v>270</v>
      </c>
      <c r="G36" s="1" t="s">
        <v>62</v>
      </c>
    </row>
    <row r="37" customFormat="false" ht="15.75" hidden="false" customHeight="true" outlineLevel="0" collapsed="false">
      <c r="A37" s="1" t="s">
        <v>102</v>
      </c>
      <c r="B37" s="1"/>
      <c r="F37" s="1" t="n">
        <v>295</v>
      </c>
    </row>
    <row r="38" customFormat="false" ht="15.75" hidden="false" customHeight="true" outlineLevel="0" collapsed="false">
      <c r="A38" s="1" t="s">
        <v>102</v>
      </c>
      <c r="B38" s="1" t="s">
        <v>116</v>
      </c>
      <c r="C38" s="1" t="n">
        <v>80</v>
      </c>
      <c r="D38" s="1" t="s">
        <v>117</v>
      </c>
      <c r="E38" s="1" t="s">
        <v>118</v>
      </c>
      <c r="F38" s="1" t="n">
        <v>300</v>
      </c>
      <c r="G38" s="1" t="s">
        <v>62</v>
      </c>
    </row>
    <row r="39" customFormat="false" ht="15.75" hidden="false" customHeight="true" outlineLevel="0" collapsed="false">
      <c r="A39" s="1" t="s">
        <v>102</v>
      </c>
      <c r="B39" s="1" t="s">
        <v>119</v>
      </c>
      <c r="C39" s="1" t="n">
        <v>60</v>
      </c>
      <c r="D39" s="1" t="s">
        <v>120</v>
      </c>
      <c r="E39" s="1" t="s">
        <v>118</v>
      </c>
      <c r="F39" s="1" t="n">
        <v>310</v>
      </c>
      <c r="G39" s="1" t="s">
        <v>62</v>
      </c>
    </row>
    <row r="40" customFormat="false" ht="15.75" hidden="false" customHeight="true" outlineLevel="0" collapsed="false">
      <c r="A40" s="1" t="s">
        <v>102</v>
      </c>
      <c r="B40" s="1" t="s">
        <v>121</v>
      </c>
      <c r="C40" s="1" t="n">
        <v>40</v>
      </c>
      <c r="D40" s="1" t="s">
        <v>122</v>
      </c>
      <c r="E40" s="1" t="s">
        <v>118</v>
      </c>
      <c r="F40" s="1" t="n">
        <v>320</v>
      </c>
      <c r="G40" s="1" t="s">
        <v>62</v>
      </c>
    </row>
    <row r="41" customFormat="false" ht="15.75" hidden="false" customHeight="true" outlineLevel="0" collapsed="false">
      <c r="A41" s="1" t="s">
        <v>123</v>
      </c>
      <c r="B41" s="1" t="s">
        <v>124</v>
      </c>
      <c r="C41" s="1" t="s">
        <v>125</v>
      </c>
      <c r="D41" s="1" t="s">
        <v>126</v>
      </c>
      <c r="E41" s="1" t="s">
        <v>127</v>
      </c>
      <c r="F41" s="1" t="n">
        <v>330</v>
      </c>
    </row>
    <row r="42" customFormat="false" ht="15.75" hidden="false" customHeight="true" outlineLevel="0" collapsed="false">
      <c r="A42" s="1" t="s">
        <v>123</v>
      </c>
      <c r="B42" s="1" t="s">
        <v>128</v>
      </c>
      <c r="C42" s="1" t="s">
        <v>129</v>
      </c>
      <c r="D42" s="1" t="s">
        <v>130</v>
      </c>
      <c r="E42" s="1" t="s">
        <v>131</v>
      </c>
      <c r="F42" s="1" t="n">
        <v>340</v>
      </c>
      <c r="G42" s="1" t="s">
        <v>132</v>
      </c>
    </row>
    <row r="43" customFormat="false" ht="15.75" hidden="false" customHeight="true" outlineLevel="0" collapsed="false">
      <c r="A43" s="1" t="s">
        <v>133</v>
      </c>
      <c r="B43" s="1" t="s">
        <v>134</v>
      </c>
      <c r="C43" s="1" t="n">
        <v>5</v>
      </c>
      <c r="D43" s="1" t="s">
        <v>135</v>
      </c>
      <c r="E43" s="1" t="s">
        <v>136</v>
      </c>
      <c r="F43" s="1" t="n">
        <v>360</v>
      </c>
      <c r="G43" s="1" t="s">
        <v>62</v>
      </c>
    </row>
    <row r="44" customFormat="false" ht="15.75" hidden="false" customHeight="true" outlineLevel="0" collapsed="false">
      <c r="A44" s="1" t="s">
        <v>133</v>
      </c>
      <c r="B44" s="1" t="s">
        <v>137</v>
      </c>
      <c r="C44" s="2" t="b">
        <f aca="false">TRUE()</f>
        <v>1</v>
      </c>
      <c r="D44" s="1" t="s">
        <v>138</v>
      </c>
      <c r="E44" s="1" t="s">
        <v>139</v>
      </c>
      <c r="F44" s="1" t="n">
        <v>370</v>
      </c>
      <c r="G44" s="1" t="s">
        <v>140</v>
      </c>
    </row>
    <row r="45" customFormat="false" ht="15.75" hidden="false" customHeight="true" outlineLevel="0" collapsed="false">
      <c r="A45" s="1" t="s">
        <v>133</v>
      </c>
      <c r="B45" s="1" t="s">
        <v>141</v>
      </c>
      <c r="C45" s="2" t="b">
        <f aca="false">TRUE()</f>
        <v>1</v>
      </c>
      <c r="D45" s="1" t="s">
        <v>142</v>
      </c>
      <c r="E45" s="1" t="s">
        <v>139</v>
      </c>
      <c r="F45" s="1" t="n">
        <v>380</v>
      </c>
      <c r="G45" s="1" t="s">
        <v>140</v>
      </c>
    </row>
    <row r="46" customFormat="false" ht="15.75" hidden="false" customHeight="true" outlineLevel="0" collapsed="false">
      <c r="A46" s="1" t="s">
        <v>143</v>
      </c>
      <c r="B46" s="1" t="s">
        <v>144</v>
      </c>
      <c r="C46" s="1" t="s">
        <v>145</v>
      </c>
      <c r="D46" s="1" t="s">
        <v>146</v>
      </c>
      <c r="E46" s="1" t="s">
        <v>147</v>
      </c>
      <c r="F46" s="1" t="n">
        <v>410</v>
      </c>
      <c r="G46" s="1" t="s">
        <v>148</v>
      </c>
    </row>
    <row r="47" customFormat="false" ht="15.75" hidden="false" customHeight="true" outlineLevel="0" collapsed="false">
      <c r="A47" s="1" t="s">
        <v>143</v>
      </c>
      <c r="B47" s="1" t="s">
        <v>149</v>
      </c>
      <c r="C47" s="1" t="s">
        <v>150</v>
      </c>
      <c r="D47" s="1" t="s">
        <v>151</v>
      </c>
      <c r="E47" s="1" t="s">
        <v>152</v>
      </c>
      <c r="F47" s="1" t="n">
        <v>420</v>
      </c>
      <c r="G47" s="1" t="s">
        <v>153</v>
      </c>
    </row>
    <row r="48" customFormat="false" ht="15.75" hidden="false" customHeight="true" outlineLevel="0" collapsed="false">
      <c r="A48" s="1" t="s">
        <v>143</v>
      </c>
      <c r="B48" s="1" t="s">
        <v>154</v>
      </c>
      <c r="C48" s="1" t="n">
        <v>4096</v>
      </c>
      <c r="D48" s="1" t="s">
        <v>155</v>
      </c>
      <c r="E48" s="1" t="s">
        <v>156</v>
      </c>
      <c r="F48" s="1" t="n">
        <v>430</v>
      </c>
      <c r="G48" s="1" t="s">
        <v>62</v>
      </c>
    </row>
    <row r="49" customFormat="false" ht="15.75" hidden="false" customHeight="true" outlineLevel="0" collapsed="false">
      <c r="A49" s="1" t="s">
        <v>143</v>
      </c>
      <c r="B49" s="1" t="s">
        <v>157</v>
      </c>
      <c r="C49" s="1" t="s">
        <v>145</v>
      </c>
      <c r="D49" s="1" t="s">
        <v>158</v>
      </c>
      <c r="E49" s="1" t="s">
        <v>147</v>
      </c>
      <c r="F49" s="1" t="n">
        <v>432</v>
      </c>
      <c r="G49" s="1" t="s">
        <v>148</v>
      </c>
    </row>
    <row r="50" customFormat="false" ht="15.75" hidden="false" customHeight="true" outlineLevel="0" collapsed="false">
      <c r="A50" s="1" t="s">
        <v>143</v>
      </c>
      <c r="B50" s="1" t="s">
        <v>159</v>
      </c>
      <c r="C50" s="1" t="s">
        <v>160</v>
      </c>
      <c r="D50" s="1" t="s">
        <v>161</v>
      </c>
      <c r="E50" s="1" t="s">
        <v>152</v>
      </c>
      <c r="F50" s="1" t="n">
        <v>433</v>
      </c>
      <c r="G50" s="1" t="s">
        <v>153</v>
      </c>
    </row>
    <row r="51" customFormat="false" ht="15.75" hidden="false" customHeight="true" outlineLevel="0" collapsed="false">
      <c r="A51" s="1" t="s">
        <v>143</v>
      </c>
      <c r="B51" s="1" t="s">
        <v>162</v>
      </c>
      <c r="C51" s="1" t="n">
        <v>8192</v>
      </c>
      <c r="D51" s="1" t="s">
        <v>163</v>
      </c>
      <c r="E51" s="1" t="s">
        <v>156</v>
      </c>
      <c r="F51" s="1" t="n">
        <v>434</v>
      </c>
      <c r="G51" s="1" t="s">
        <v>62</v>
      </c>
    </row>
    <row r="52" customFormat="false" ht="15.75" hidden="false" customHeight="true" outlineLevel="0" collapsed="false">
      <c r="A52" s="1" t="s">
        <v>143</v>
      </c>
      <c r="B52" s="1" t="s">
        <v>164</v>
      </c>
      <c r="C52" s="1" t="s">
        <v>145</v>
      </c>
      <c r="D52" s="1" t="s">
        <v>165</v>
      </c>
      <c r="E52" s="1" t="s">
        <v>166</v>
      </c>
      <c r="F52" s="1" t="n">
        <v>440</v>
      </c>
      <c r="G52" s="1" t="s">
        <v>148</v>
      </c>
    </row>
    <row r="53" customFormat="false" ht="15.75" hidden="false" customHeight="true" outlineLevel="0" collapsed="false">
      <c r="A53" s="1" t="s">
        <v>143</v>
      </c>
      <c r="B53" s="1" t="s">
        <v>167</v>
      </c>
      <c r="C53" s="1" t="s">
        <v>150</v>
      </c>
      <c r="D53" s="1" t="s">
        <v>168</v>
      </c>
      <c r="E53" s="1" t="s">
        <v>169</v>
      </c>
      <c r="F53" s="1" t="n">
        <v>445</v>
      </c>
      <c r="G53" s="1" t="s">
        <v>153</v>
      </c>
    </row>
    <row r="54" customFormat="false" ht="15.75" hidden="false" customHeight="true" outlineLevel="0" collapsed="false">
      <c r="A54" s="1" t="s">
        <v>143</v>
      </c>
      <c r="B54" s="1" t="s">
        <v>170</v>
      </c>
      <c r="C54" s="1" t="n">
        <v>16384</v>
      </c>
      <c r="D54" s="1" t="s">
        <v>171</v>
      </c>
      <c r="E54" s="1" t="s">
        <v>172</v>
      </c>
      <c r="F54" s="1" t="n">
        <v>450</v>
      </c>
      <c r="G54" s="1" t="s">
        <v>62</v>
      </c>
    </row>
    <row r="55" customFormat="false" ht="15.75" hidden="false" customHeight="true" outlineLevel="0" collapsed="false">
      <c r="A55" s="1" t="s">
        <v>143</v>
      </c>
      <c r="B55" s="1" t="s">
        <v>173</v>
      </c>
      <c r="C55" s="1" t="s">
        <v>145</v>
      </c>
      <c r="D55" s="1" t="s">
        <v>174</v>
      </c>
      <c r="E55" s="1" t="s">
        <v>145</v>
      </c>
      <c r="F55" s="1" t="n">
        <v>455</v>
      </c>
      <c r="G55" s="1" t="s">
        <v>148</v>
      </c>
    </row>
    <row r="56" customFormat="false" ht="15.75" hidden="false" customHeight="true" outlineLevel="0" collapsed="false">
      <c r="A56" s="1" t="s">
        <v>143</v>
      </c>
      <c r="B56" s="1" t="s">
        <v>175</v>
      </c>
      <c r="C56" s="1" t="s">
        <v>150</v>
      </c>
      <c r="D56" s="1" t="s">
        <v>176</v>
      </c>
      <c r="E56" s="1" t="s">
        <v>177</v>
      </c>
      <c r="F56" s="1" t="n">
        <v>460</v>
      </c>
      <c r="G56" s="1" t="s">
        <v>153</v>
      </c>
    </row>
    <row r="57" customFormat="false" ht="15.75" hidden="false" customHeight="true" outlineLevel="0" collapsed="false">
      <c r="A57" s="1" t="s">
        <v>143</v>
      </c>
      <c r="B57" s="1" t="s">
        <v>178</v>
      </c>
      <c r="C57" s="1" t="n">
        <v>4096</v>
      </c>
      <c r="D57" s="1" t="s">
        <v>179</v>
      </c>
      <c r="E57" s="1" t="s">
        <v>180</v>
      </c>
      <c r="F57" s="1" t="n">
        <v>470</v>
      </c>
      <c r="G57" s="1" t="s">
        <v>62</v>
      </c>
    </row>
    <row r="58" customFormat="false" ht="15.75" hidden="false" customHeight="true" outlineLevel="0" collapsed="false">
      <c r="A58" s="1" t="s">
        <v>143</v>
      </c>
      <c r="B58" s="1" t="s">
        <v>181</v>
      </c>
      <c r="C58" s="1" t="s">
        <v>145</v>
      </c>
      <c r="D58" s="1" t="s">
        <v>182</v>
      </c>
      <c r="E58" s="1" t="s">
        <v>145</v>
      </c>
      <c r="F58" s="1" t="n">
        <v>475</v>
      </c>
      <c r="G58" s="1" t="s">
        <v>148</v>
      </c>
    </row>
    <row r="59" customFormat="false" ht="15.75" hidden="false" customHeight="true" outlineLevel="0" collapsed="false">
      <c r="A59" s="1" t="s">
        <v>143</v>
      </c>
      <c r="B59" s="1" t="s">
        <v>183</v>
      </c>
      <c r="C59" s="1" t="s">
        <v>150</v>
      </c>
      <c r="D59" s="1" t="s">
        <v>184</v>
      </c>
      <c r="E59" s="1" t="s">
        <v>185</v>
      </c>
      <c r="F59" s="1" t="n">
        <v>480</v>
      </c>
      <c r="G59" s="1" t="s">
        <v>153</v>
      </c>
    </row>
    <row r="60" customFormat="false" ht="15.75" hidden="false" customHeight="true" outlineLevel="0" collapsed="false">
      <c r="A60" s="1" t="s">
        <v>143</v>
      </c>
      <c r="B60" s="1" t="s">
        <v>186</v>
      </c>
      <c r="C60" s="1" t="n">
        <v>16384</v>
      </c>
      <c r="D60" s="1" t="s">
        <v>187</v>
      </c>
      <c r="E60" s="1" t="s">
        <v>188</v>
      </c>
      <c r="F60" s="1" t="n">
        <v>485</v>
      </c>
      <c r="G60" s="1" t="s">
        <v>62</v>
      </c>
    </row>
    <row r="61" customFormat="false" ht="15.75" hidden="false" customHeight="true" outlineLevel="0" collapsed="false">
      <c r="A61" s="1" t="s">
        <v>143</v>
      </c>
      <c r="B61" s="1" t="s">
        <v>189</v>
      </c>
      <c r="C61" s="1" t="s">
        <v>145</v>
      </c>
      <c r="D61" s="1" t="s">
        <v>190</v>
      </c>
      <c r="E61" s="1" t="s">
        <v>145</v>
      </c>
      <c r="F61" s="1" t="n">
        <v>490</v>
      </c>
      <c r="G61" s="1" t="s">
        <v>148</v>
      </c>
    </row>
    <row r="62" customFormat="false" ht="15.75" hidden="false" customHeight="true" outlineLevel="0" collapsed="false">
      <c r="A62" s="1" t="s">
        <v>143</v>
      </c>
      <c r="B62" s="1" t="s">
        <v>191</v>
      </c>
      <c r="C62" s="1" t="s">
        <v>150</v>
      </c>
      <c r="D62" s="1" t="s">
        <v>192</v>
      </c>
      <c r="E62" s="1" t="s">
        <v>193</v>
      </c>
      <c r="F62" s="1" t="n">
        <v>495</v>
      </c>
      <c r="G62" s="1" t="s">
        <v>153</v>
      </c>
    </row>
    <row r="63" customFormat="false" ht="15.75" hidden="false" customHeight="true" outlineLevel="0" collapsed="false">
      <c r="A63" s="1" t="s">
        <v>143</v>
      </c>
      <c r="B63" s="1" t="s">
        <v>194</v>
      </c>
      <c r="C63" s="1" t="n">
        <v>16384</v>
      </c>
      <c r="D63" s="1" t="s">
        <v>195</v>
      </c>
      <c r="E63" s="1" t="s">
        <v>196</v>
      </c>
      <c r="F63" s="1" t="n">
        <v>500</v>
      </c>
      <c r="G63" s="1" t="s">
        <v>62</v>
      </c>
    </row>
    <row r="64" customFormat="false" ht="15.75" hidden="false" customHeight="true" outlineLevel="0" collapsed="false">
      <c r="A64" s="1" t="s">
        <v>143</v>
      </c>
      <c r="B64" s="1" t="s">
        <v>197</v>
      </c>
      <c r="C64" s="1" t="s">
        <v>145</v>
      </c>
      <c r="D64" s="1" t="s">
        <v>182</v>
      </c>
      <c r="E64" s="1" t="s">
        <v>145</v>
      </c>
      <c r="F64" s="1" t="n">
        <v>505</v>
      </c>
      <c r="G64" s="1" t="s">
        <v>148</v>
      </c>
    </row>
    <row r="65" customFormat="false" ht="15.75" hidden="false" customHeight="true" outlineLevel="0" collapsed="false">
      <c r="A65" s="1" t="s">
        <v>143</v>
      </c>
      <c r="B65" s="1" t="s">
        <v>198</v>
      </c>
      <c r="C65" s="1" t="s">
        <v>150</v>
      </c>
      <c r="D65" s="1" t="s">
        <v>184</v>
      </c>
      <c r="E65" s="1" t="s">
        <v>185</v>
      </c>
      <c r="F65" s="1" t="n">
        <v>510</v>
      </c>
      <c r="G65" s="1" t="s">
        <v>153</v>
      </c>
    </row>
    <row r="66" customFormat="false" ht="15.75" hidden="false" customHeight="true" outlineLevel="0" collapsed="false">
      <c r="A66" s="1" t="s">
        <v>143</v>
      </c>
      <c r="B66" s="1" t="s">
        <v>199</v>
      </c>
      <c r="C66" s="1" t="n">
        <v>8192</v>
      </c>
      <c r="D66" s="1" t="s">
        <v>187</v>
      </c>
      <c r="E66" s="1" t="s">
        <v>188</v>
      </c>
      <c r="F66" s="1" t="n">
        <v>515</v>
      </c>
      <c r="G66" s="1" t="s">
        <v>62</v>
      </c>
    </row>
    <row r="67" customFormat="false" ht="15.75" hidden="false" customHeight="true" outlineLevel="0" collapsed="false">
      <c r="A67" s="1" t="s">
        <v>143</v>
      </c>
      <c r="B67" s="1" t="s">
        <v>200</v>
      </c>
      <c r="C67" s="1" t="s">
        <v>145</v>
      </c>
      <c r="D67" s="1" t="s">
        <v>201</v>
      </c>
      <c r="E67" s="1" t="s">
        <v>145</v>
      </c>
      <c r="F67" s="1" t="n">
        <v>520</v>
      </c>
      <c r="G67" s="1" t="s">
        <v>148</v>
      </c>
    </row>
    <row r="68" customFormat="false" ht="15.75" hidden="false" customHeight="true" outlineLevel="0" collapsed="false">
      <c r="A68" s="1" t="s">
        <v>143</v>
      </c>
      <c r="B68" s="1" t="s">
        <v>202</v>
      </c>
      <c r="C68" s="1" t="s">
        <v>150</v>
      </c>
      <c r="D68" s="1" t="s">
        <v>203</v>
      </c>
      <c r="E68" s="1" t="s">
        <v>177</v>
      </c>
      <c r="F68" s="1" t="n">
        <v>525</v>
      </c>
      <c r="G68" s="1" t="s">
        <v>153</v>
      </c>
    </row>
    <row r="69" customFormat="false" ht="15.75" hidden="false" customHeight="true" outlineLevel="0" collapsed="false">
      <c r="A69" s="1" t="s">
        <v>143</v>
      </c>
      <c r="B69" s="1" t="s">
        <v>204</v>
      </c>
      <c r="C69" s="1" t="n">
        <v>8192</v>
      </c>
      <c r="D69" s="1" t="s">
        <v>205</v>
      </c>
      <c r="E69" s="1" t="s">
        <v>206</v>
      </c>
      <c r="F69" s="1" t="n">
        <v>530</v>
      </c>
      <c r="G69" s="1" t="s">
        <v>62</v>
      </c>
    </row>
    <row r="70" customFormat="false" ht="15.75" hidden="false" customHeight="true" outlineLevel="0" collapsed="false">
      <c r="A70" s="1" t="s">
        <v>143</v>
      </c>
      <c r="B70" s="1" t="s">
        <v>207</v>
      </c>
      <c r="C70" s="1" t="s">
        <v>145</v>
      </c>
      <c r="D70" s="1" t="s">
        <v>208</v>
      </c>
      <c r="E70" s="1" t="s">
        <v>145</v>
      </c>
      <c r="F70" s="1" t="n">
        <v>535</v>
      </c>
      <c r="G70" s="1" t="s">
        <v>148</v>
      </c>
    </row>
    <row r="71" customFormat="false" ht="15.75" hidden="false" customHeight="true" outlineLevel="0" collapsed="false">
      <c r="A71" s="1" t="s">
        <v>143</v>
      </c>
      <c r="B71" s="1" t="s">
        <v>209</v>
      </c>
      <c r="C71" s="1" t="s">
        <v>150</v>
      </c>
      <c r="D71" s="1" t="s">
        <v>210</v>
      </c>
      <c r="E71" s="1" t="s">
        <v>177</v>
      </c>
      <c r="F71" s="1" t="n">
        <v>540</v>
      </c>
      <c r="G71" s="1" t="s">
        <v>153</v>
      </c>
    </row>
    <row r="72" customFormat="false" ht="15.75" hidden="false" customHeight="true" outlineLevel="0" collapsed="false">
      <c r="A72" s="1" t="s">
        <v>143</v>
      </c>
      <c r="B72" s="1" t="s">
        <v>211</v>
      </c>
      <c r="C72" s="1" t="n">
        <v>16384</v>
      </c>
      <c r="D72" s="1" t="s">
        <v>212</v>
      </c>
      <c r="E72" s="1" t="s">
        <v>213</v>
      </c>
      <c r="F72" s="1" t="n">
        <v>545</v>
      </c>
      <c r="G72" s="1" t="s">
        <v>62</v>
      </c>
    </row>
    <row r="73" customFormat="false" ht="15.75" hidden="false" customHeight="true" outlineLevel="0" collapsed="false">
      <c r="A73" s="1" t="s">
        <v>143</v>
      </c>
      <c r="B73" s="1" t="s">
        <v>214</v>
      </c>
      <c r="C73" s="1" t="s">
        <v>145</v>
      </c>
      <c r="D73" s="1" t="s">
        <v>215</v>
      </c>
      <c r="E73" s="1" t="s">
        <v>145</v>
      </c>
      <c r="F73" s="1" t="n">
        <v>550</v>
      </c>
      <c r="G73" s="1" t="s">
        <v>148</v>
      </c>
    </row>
    <row r="74" customFormat="false" ht="15.75" hidden="false" customHeight="true" outlineLevel="0" collapsed="false">
      <c r="A74" s="1" t="s">
        <v>143</v>
      </c>
      <c r="B74" s="1" t="s">
        <v>216</v>
      </c>
      <c r="C74" s="1" t="s">
        <v>150</v>
      </c>
      <c r="D74" s="1" t="s">
        <v>217</v>
      </c>
      <c r="E74" s="1" t="s">
        <v>177</v>
      </c>
      <c r="F74" s="1" t="n">
        <v>555</v>
      </c>
      <c r="G74" s="1" t="s">
        <v>153</v>
      </c>
    </row>
    <row r="75" customFormat="false" ht="15.75" hidden="false" customHeight="true" outlineLevel="0" collapsed="false">
      <c r="A75" s="1" t="s">
        <v>143</v>
      </c>
      <c r="B75" s="1" t="s">
        <v>218</v>
      </c>
      <c r="C75" s="1" t="n">
        <v>2048</v>
      </c>
      <c r="D75" s="1" t="s">
        <v>219</v>
      </c>
      <c r="E75" s="1" t="s">
        <v>220</v>
      </c>
      <c r="F75" s="1" t="n">
        <v>560</v>
      </c>
      <c r="G75" s="1" t="s">
        <v>62</v>
      </c>
    </row>
    <row r="76" customFormat="false" ht="15" hidden="false" customHeight="false" outlineLevel="0" collapsed="false">
      <c r="A76" s="1" t="s">
        <v>143</v>
      </c>
      <c r="B76" s="1" t="s">
        <v>221</v>
      </c>
      <c r="C76" s="1" t="s">
        <v>145</v>
      </c>
      <c r="D76" s="1" t="s">
        <v>215</v>
      </c>
      <c r="E76" s="1" t="s">
        <v>145</v>
      </c>
      <c r="F76" s="1" t="n">
        <v>565</v>
      </c>
      <c r="G76" s="1" t="s">
        <v>148</v>
      </c>
    </row>
    <row r="77" customFormat="false" ht="15" hidden="false" customHeight="false" outlineLevel="0" collapsed="false">
      <c r="A77" s="1" t="s">
        <v>143</v>
      </c>
      <c r="B77" s="1" t="s">
        <v>222</v>
      </c>
      <c r="C77" s="1" t="s">
        <v>150</v>
      </c>
      <c r="D77" s="1" t="s">
        <v>217</v>
      </c>
      <c r="E77" s="1" t="s">
        <v>177</v>
      </c>
      <c r="F77" s="1" t="n">
        <v>570</v>
      </c>
      <c r="G77" s="1" t="s">
        <v>153</v>
      </c>
    </row>
    <row r="78" customFormat="false" ht="15" hidden="false" customHeight="false" outlineLevel="0" collapsed="false">
      <c r="A78" s="1" t="s">
        <v>143</v>
      </c>
      <c r="B78" s="1" t="s">
        <v>223</v>
      </c>
      <c r="C78" s="1" t="n">
        <v>16384</v>
      </c>
      <c r="D78" s="1" t="s">
        <v>219</v>
      </c>
      <c r="E78" s="1" t="s">
        <v>220</v>
      </c>
      <c r="F78" s="1" t="n">
        <v>575</v>
      </c>
      <c r="G78" s="1" t="s">
        <v>62</v>
      </c>
    </row>
    <row r="79" customFormat="false" ht="15.75" hidden="false" customHeight="true" outlineLevel="0" collapsed="false">
      <c r="A79" s="1" t="s">
        <v>224</v>
      </c>
      <c r="B79" s="1" t="s">
        <v>225</v>
      </c>
      <c r="C79" s="1" t="n">
        <v>2</v>
      </c>
      <c r="D79" s="1" t="s">
        <v>226</v>
      </c>
      <c r="E79" s="1" t="s">
        <v>227</v>
      </c>
      <c r="F79" s="1" t="n">
        <v>650</v>
      </c>
      <c r="G79" s="1" t="s">
        <v>62</v>
      </c>
    </row>
    <row r="80" customFormat="false" ht="15.75" hidden="false" customHeight="true" outlineLevel="0" collapsed="false">
      <c r="A80" s="1" t="s">
        <v>224</v>
      </c>
      <c r="B80" s="1" t="s">
        <v>228</v>
      </c>
      <c r="C80" s="1" t="s">
        <v>229</v>
      </c>
      <c r="D80" s="1" t="s">
        <v>230</v>
      </c>
      <c r="E80" s="1" t="s">
        <v>231</v>
      </c>
      <c r="F80" s="1" t="n">
        <v>660</v>
      </c>
      <c r="G80" s="1" t="s">
        <v>232</v>
      </c>
      <c r="H80" s="1" t="s">
        <v>233</v>
      </c>
    </row>
    <row r="81" customFormat="false" ht="15.75" hidden="false" customHeight="true" outlineLevel="0" collapsed="false">
      <c r="A81" s="1" t="s">
        <v>224</v>
      </c>
      <c r="B81" s="1" t="s">
        <v>234</v>
      </c>
      <c r="C81" s="1" t="s">
        <v>235</v>
      </c>
      <c r="D81" s="1" t="s">
        <v>236</v>
      </c>
      <c r="E81" s="1" t="s">
        <v>237</v>
      </c>
      <c r="F81" s="1" t="n">
        <v>670</v>
      </c>
    </row>
    <row r="82" customFormat="false" ht="15.75" hidden="false" customHeight="true" outlineLevel="0" collapsed="false">
      <c r="A82" s="1" t="s">
        <v>224</v>
      </c>
      <c r="B82" s="1" t="s">
        <v>238</v>
      </c>
      <c r="C82" s="1" t="n">
        <v>10.5</v>
      </c>
      <c r="D82" s="1" t="s">
        <v>239</v>
      </c>
      <c r="E82" s="1" t="s">
        <v>240</v>
      </c>
      <c r="F82" s="1" t="n">
        <v>680</v>
      </c>
      <c r="G82" s="1" t="s">
        <v>62</v>
      </c>
    </row>
    <row r="83" customFormat="false" ht="15.75" hidden="false" customHeight="true" outlineLevel="0" collapsed="false">
      <c r="A83" s="1" t="s">
        <v>224</v>
      </c>
      <c r="B83" s="1" t="s">
        <v>241</v>
      </c>
      <c r="C83" s="1" t="n">
        <v>0.5</v>
      </c>
      <c r="D83" s="1" t="s">
        <v>242</v>
      </c>
      <c r="E83" s="1" t="s">
        <v>243</v>
      </c>
      <c r="F83" s="1" t="n">
        <v>690</v>
      </c>
      <c r="G83" s="1" t="s">
        <v>62</v>
      </c>
    </row>
    <row r="84" customFormat="false" ht="15.75" hidden="false" customHeight="true" outlineLevel="0" collapsed="false">
      <c r="A84" s="1" t="s">
        <v>224</v>
      </c>
      <c r="B84" s="1" t="s">
        <v>244</v>
      </c>
      <c r="C84" s="1" t="n">
        <v>0.5</v>
      </c>
      <c r="D84" s="1" t="s">
        <v>245</v>
      </c>
      <c r="E84" s="1" t="s">
        <v>246</v>
      </c>
      <c r="F84" s="1" t="n">
        <v>700</v>
      </c>
      <c r="G84" s="1" t="s">
        <v>62</v>
      </c>
    </row>
    <row r="85" customFormat="false" ht="15.75" hidden="false" customHeight="true" outlineLevel="0" collapsed="false">
      <c r="A85" s="1" t="s">
        <v>224</v>
      </c>
      <c r="B85" s="1" t="s">
        <v>247</v>
      </c>
      <c r="C85" s="1" t="n">
        <v>0.7</v>
      </c>
      <c r="D85" s="1" t="s">
        <v>248</v>
      </c>
      <c r="F85" s="1" t="n">
        <v>710</v>
      </c>
      <c r="G85" s="1" t="s">
        <v>62</v>
      </c>
    </row>
    <row r="86" customFormat="false" ht="15.75" hidden="false" customHeight="true" outlineLevel="0" collapsed="false">
      <c r="A86" s="1" t="s">
        <v>224</v>
      </c>
      <c r="B86" s="1" t="s">
        <v>249</v>
      </c>
      <c r="C86" s="1" t="n">
        <v>0.7</v>
      </c>
      <c r="D86" s="1" t="s">
        <v>250</v>
      </c>
      <c r="F86" s="1" t="n">
        <v>720</v>
      </c>
      <c r="G86" s="1" t="s">
        <v>62</v>
      </c>
    </row>
    <row r="87" customFormat="false" ht="15.75" hidden="false" customHeight="true" outlineLevel="0" collapsed="false">
      <c r="A87" s="1" t="s">
        <v>224</v>
      </c>
      <c r="B87" s="1" t="s">
        <v>251</v>
      </c>
      <c r="C87" s="1" t="s">
        <v>252</v>
      </c>
      <c r="D87" s="1" t="s">
        <v>253</v>
      </c>
      <c r="E87" s="1" t="s">
        <v>254</v>
      </c>
      <c r="F87" s="1" t="n">
        <v>730</v>
      </c>
      <c r="G87" s="1" t="s">
        <v>255</v>
      </c>
    </row>
    <row r="88" customFormat="false" ht="15.75" hidden="false" customHeight="true" outlineLevel="0" collapsed="false">
      <c r="A88" s="1" t="s">
        <v>256</v>
      </c>
      <c r="B88" s="1" t="s">
        <v>257</v>
      </c>
      <c r="C88" s="1" t="n">
        <v>500</v>
      </c>
      <c r="D88" s="1" t="s">
        <v>258</v>
      </c>
      <c r="E88" s="1" t="s">
        <v>259</v>
      </c>
      <c r="F88" s="1" t="n">
        <v>740</v>
      </c>
      <c r="G88" s="1" t="s">
        <v>62</v>
      </c>
    </row>
    <row r="89" customFormat="false" ht="15.75" hidden="false" customHeight="true" outlineLevel="0" collapsed="false">
      <c r="A89" s="1" t="s">
        <v>256</v>
      </c>
      <c r="B89" s="1" t="s">
        <v>260</v>
      </c>
      <c r="C89" s="1" t="s">
        <v>229</v>
      </c>
      <c r="D89" s="1" t="s">
        <v>261</v>
      </c>
      <c r="E89" s="1" t="s">
        <v>231</v>
      </c>
      <c r="F89" s="1" t="n">
        <v>750</v>
      </c>
      <c r="G89" s="1" t="s">
        <v>232</v>
      </c>
      <c r="H89" s="1" t="s">
        <v>233</v>
      </c>
    </row>
    <row r="90" customFormat="false" ht="15.75" hidden="false" customHeight="true" outlineLevel="0" collapsed="false">
      <c r="A90" s="1" t="s">
        <v>256</v>
      </c>
      <c r="B90" s="1" t="s">
        <v>262</v>
      </c>
      <c r="C90" s="1" t="s">
        <v>263</v>
      </c>
      <c r="D90" s="1" t="s">
        <v>236</v>
      </c>
      <c r="E90" s="1" t="s">
        <v>264</v>
      </c>
      <c r="F90" s="1" t="n">
        <v>760</v>
      </c>
    </row>
    <row r="91" customFormat="false" ht="15.75" hidden="false" customHeight="true" outlineLevel="0" collapsed="false">
      <c r="A91" s="1" t="s">
        <v>256</v>
      </c>
      <c r="B91" s="1" t="s">
        <v>265</v>
      </c>
      <c r="C91" s="1" t="n">
        <v>10</v>
      </c>
      <c r="D91" s="1" t="s">
        <v>266</v>
      </c>
      <c r="E91" s="1" t="s">
        <v>267</v>
      </c>
      <c r="F91" s="1" t="n">
        <v>770</v>
      </c>
      <c r="G91" s="1" t="s">
        <v>62</v>
      </c>
    </row>
    <row r="92" customFormat="false" ht="15.75" hidden="false" customHeight="true" outlineLevel="0" collapsed="false">
      <c r="A92" s="1" t="s">
        <v>256</v>
      </c>
      <c r="B92" s="1" t="s">
        <v>268</v>
      </c>
      <c r="C92" s="1" t="n">
        <v>0.4</v>
      </c>
      <c r="D92" s="1" t="s">
        <v>269</v>
      </c>
      <c r="E92" s="1" t="s">
        <v>270</v>
      </c>
      <c r="F92" s="1" t="n">
        <v>780</v>
      </c>
      <c r="G92" s="1" t="s">
        <v>62</v>
      </c>
    </row>
    <row r="93" customFormat="false" ht="15.75" hidden="false" customHeight="true" outlineLevel="0" collapsed="false">
      <c r="A93" s="1" t="s">
        <v>256</v>
      </c>
      <c r="B93" s="1" t="s">
        <v>271</v>
      </c>
      <c r="C93" s="1" t="n">
        <v>0.6</v>
      </c>
      <c r="D93" s="1" t="s">
        <v>272</v>
      </c>
      <c r="E93" s="1" t="s">
        <v>273</v>
      </c>
      <c r="F93" s="1" t="n">
        <v>790</v>
      </c>
      <c r="G93" s="1" t="s">
        <v>62</v>
      </c>
    </row>
    <row r="94" customFormat="false" ht="15.75" hidden="false" customHeight="true" outlineLevel="0" collapsed="false">
      <c r="A94" s="1" t="s">
        <v>274</v>
      </c>
      <c r="B94" s="1" t="s">
        <v>275</v>
      </c>
      <c r="C94" s="1" t="s">
        <v>276</v>
      </c>
      <c r="D94" s="1" t="s">
        <v>277</v>
      </c>
      <c r="E94" s="1" t="s">
        <v>278</v>
      </c>
      <c r="F94" s="1" t="n">
        <v>800</v>
      </c>
    </row>
    <row r="95" customFormat="false" ht="15.75" hidden="false" customHeight="true" outlineLevel="0" collapsed="false">
      <c r="A95" s="1" t="s">
        <v>274</v>
      </c>
      <c r="B95" s="1" t="s">
        <v>279</v>
      </c>
      <c r="C95" s="1" t="s">
        <v>280</v>
      </c>
      <c r="D95" s="1" t="s">
        <v>281</v>
      </c>
      <c r="E95" s="1" t="s">
        <v>282</v>
      </c>
      <c r="F95" s="1" t="n">
        <v>810</v>
      </c>
    </row>
    <row r="96" customFormat="false" ht="15.75" hidden="false" customHeight="true" outlineLevel="0" collapsed="false">
      <c r="A96" s="1" t="s">
        <v>274</v>
      </c>
      <c r="B96" s="1" t="s">
        <v>283</v>
      </c>
      <c r="C96" s="1" t="s">
        <v>284</v>
      </c>
      <c r="D96" s="1" t="s">
        <v>285</v>
      </c>
      <c r="E96" s="1" t="s">
        <v>286</v>
      </c>
      <c r="F96" s="1" t="n">
        <v>820</v>
      </c>
    </row>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287</v>
      </c>
      <c r="B1" s="1" t="s">
        <v>288</v>
      </c>
      <c r="C1" s="1" t="s">
        <v>0</v>
      </c>
      <c r="D1" s="1" t="s">
        <v>289</v>
      </c>
      <c r="E1" s="1" t="s">
        <v>290</v>
      </c>
      <c r="F1" s="1" t="s">
        <v>291</v>
      </c>
      <c r="G1" s="1" t="s">
        <v>292</v>
      </c>
      <c r="H1" s="1" t="s">
        <v>293</v>
      </c>
      <c r="I1" s="1" t="s">
        <v>294</v>
      </c>
      <c r="J1" s="1" t="s">
        <v>295</v>
      </c>
      <c r="K1" s="1" t="s">
        <v>296</v>
      </c>
      <c r="L1" s="1" t="s">
        <v>297</v>
      </c>
      <c r="M1" s="1" t="s">
        <v>298</v>
      </c>
    </row>
    <row r="2" customFormat="false" ht="15" hidden="false" customHeight="false" outlineLevel="0" collapsed="false">
      <c r="A2" s="1" t="s">
        <v>299</v>
      </c>
      <c r="C2" s="1" t="s">
        <v>300</v>
      </c>
      <c r="D2" s="1" t="n">
        <v>1</v>
      </c>
      <c r="G2" s="1" t="s">
        <v>299</v>
      </c>
      <c r="L2" s="1" t="s">
        <v>301</v>
      </c>
      <c r="M2" s="1" t="s">
        <v>302</v>
      </c>
    </row>
    <row r="3" customFormat="false" ht="15" hidden="false" customHeight="false" outlineLevel="0" collapsed="false">
      <c r="A3" s="1" t="s">
        <v>303</v>
      </c>
      <c r="C3" s="1" t="s">
        <v>300</v>
      </c>
      <c r="D3" s="1" t="n">
        <v>1</v>
      </c>
      <c r="G3" s="1" t="s">
        <v>304</v>
      </c>
      <c r="L3" s="1" t="s">
        <v>301</v>
      </c>
      <c r="M3" s="1" t="s">
        <v>302</v>
      </c>
    </row>
    <row r="4" customFormat="false" ht="15" hidden="false" customHeight="false" outlineLevel="0" collapsed="false">
      <c r="A4" s="1" t="s">
        <v>305</v>
      </c>
      <c r="C4" s="1" t="s">
        <v>300</v>
      </c>
      <c r="D4" s="1" t="n">
        <v>1</v>
      </c>
      <c r="G4" s="1" t="s">
        <v>306</v>
      </c>
      <c r="L4" s="1" t="s">
        <v>301</v>
      </c>
      <c r="M4" s="1" t="s">
        <v>302</v>
      </c>
    </row>
    <row r="5" customFormat="false" ht="15" hidden="false" customHeight="false" outlineLevel="0" collapsed="false">
      <c r="A5" s="1" t="s">
        <v>307</v>
      </c>
      <c r="C5" s="1" t="s">
        <v>300</v>
      </c>
      <c r="D5" s="1" t="n">
        <v>1</v>
      </c>
      <c r="G5" s="1" t="s">
        <v>308</v>
      </c>
      <c r="L5" s="1" t="s">
        <v>301</v>
      </c>
      <c r="M5" s="1" t="s">
        <v>302</v>
      </c>
    </row>
    <row r="6" customFormat="false" ht="15" hidden="false" customHeight="false" outlineLevel="0" collapsed="false">
      <c r="A6" s="1" t="s">
        <v>309</v>
      </c>
      <c r="C6" s="1" t="s">
        <v>310</v>
      </c>
      <c r="D6" s="1" t="n">
        <v>1</v>
      </c>
      <c r="E6" s="1" t="s">
        <v>311</v>
      </c>
      <c r="L6" s="1" t="s">
        <v>312</v>
      </c>
    </row>
    <row r="7" customFormat="false" ht="15" hidden="false" customHeight="false" outlineLevel="0" collapsed="false">
      <c r="A7" s="1" t="s">
        <v>313</v>
      </c>
      <c r="C7" s="1" t="s">
        <v>310</v>
      </c>
      <c r="D7" s="1" t="n">
        <v>1</v>
      </c>
      <c r="E7" s="1" t="s">
        <v>314</v>
      </c>
      <c r="L7" s="1" t="s">
        <v>315</v>
      </c>
    </row>
    <row r="8" customFormat="false" ht="15" hidden="false" customHeight="false" outlineLevel="0" collapsed="false">
      <c r="A8" s="1" t="s">
        <v>316</v>
      </c>
      <c r="C8" s="1" t="s">
        <v>317</v>
      </c>
      <c r="D8" s="1" t="n">
        <v>1</v>
      </c>
      <c r="E8" s="1"/>
      <c r="F8" s="1" t="s">
        <v>316</v>
      </c>
      <c r="L8" s="1" t="s">
        <v>318</v>
      </c>
    </row>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1" min="1" style="0" width="15.2"/>
    <col collapsed="false" customWidth="true" hidden="false" outlineLevel="0" max="26" min="2" style="0" width="8.71"/>
  </cols>
  <sheetData>
    <row r="1" customFormat="false" ht="15" hidden="false" customHeight="false" outlineLevel="0" collapsed="false">
      <c r="A1" s="1" t="s">
        <v>319</v>
      </c>
      <c r="B1" s="1" t="s">
        <v>2</v>
      </c>
    </row>
    <row r="2" customFormat="false" ht="504" hidden="false" customHeight="false" outlineLevel="0" collapsed="false">
      <c r="A2" s="1" t="s">
        <v>320</v>
      </c>
      <c r="B2" s="3" t="s">
        <v>321</v>
      </c>
    </row>
    <row r="3" customFormat="false" ht="36.5" hidden="false" customHeight="false" outlineLevel="0" collapsed="false">
      <c r="A3" s="1" t="s">
        <v>322</v>
      </c>
      <c r="B3" s="4" t="s">
        <v>323</v>
      </c>
    </row>
    <row r="4" customFormat="false" ht="15" hidden="false" customHeight="false" outlineLevel="0" collapsed="false">
      <c r="A4" s="1" t="s">
        <v>324</v>
      </c>
      <c r="B4" s="0" t="s">
        <v>325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1" style="0" width="8.71"/>
    <col collapsed="false" customWidth="true" hidden="false" outlineLevel="0" max="4" min="4" style="0" width="18.43"/>
    <col collapsed="false" customWidth="true" hidden="false" outlineLevel="0" max="27" min="5" style="0" width="8.71"/>
  </cols>
  <sheetData>
    <row r="1" customFormat="false" ht="15" hidden="false" customHeight="false" outlineLevel="0" collapsed="false">
      <c r="A1" s="1" t="s">
        <v>326</v>
      </c>
      <c r="B1" s="1" t="s">
        <v>327</v>
      </c>
      <c r="C1" s="1" t="s">
        <v>328</v>
      </c>
      <c r="D1" s="1" t="s">
        <v>329</v>
      </c>
      <c r="E1" s="1" t="s">
        <v>322</v>
      </c>
      <c r="F1" s="1" t="s">
        <v>3</v>
      </c>
    </row>
    <row r="2" customFormat="false" ht="25" hidden="false" customHeight="false" outlineLevel="0" collapsed="false">
      <c r="A2" s="1" t="n">
        <v>1</v>
      </c>
      <c r="B2" s="1" t="s">
        <v>330</v>
      </c>
      <c r="C2" s="1" t="s">
        <v>331</v>
      </c>
      <c r="E2" s="1" t="s">
        <v>332</v>
      </c>
      <c r="F2" s="1" t="s">
        <v>333</v>
      </c>
    </row>
    <row r="3" customFormat="false" ht="25" hidden="false" customHeight="false" outlineLevel="0" collapsed="false">
      <c r="A3" s="1" t="n">
        <v>2</v>
      </c>
      <c r="B3" s="1" t="s">
        <v>334</v>
      </c>
      <c r="C3" s="1" t="s">
        <v>335</v>
      </c>
      <c r="E3" s="1" t="s">
        <v>332</v>
      </c>
      <c r="F3" s="1" t="s">
        <v>336</v>
      </c>
    </row>
    <row r="4" customFormat="false" ht="15" hidden="false" customHeight="false" outlineLevel="0" collapsed="false">
      <c r="A4" s="1" t="n">
        <v>3</v>
      </c>
      <c r="B4" s="1" t="s">
        <v>337</v>
      </c>
      <c r="C4" s="1" t="s">
        <v>338</v>
      </c>
      <c r="E4" s="1" t="s">
        <v>339</v>
      </c>
      <c r="F4" s="1" t="s">
        <v>340</v>
      </c>
    </row>
    <row r="5" customFormat="false" ht="15" hidden="false" customHeight="false" outlineLevel="0" collapsed="false">
      <c r="A5" s="1" t="n">
        <v>4</v>
      </c>
      <c r="B5" s="1" t="s">
        <v>341</v>
      </c>
      <c r="C5" s="1" t="s">
        <v>342</v>
      </c>
      <c r="E5" s="1" t="s">
        <v>332</v>
      </c>
      <c r="F5" s="1" t="s">
        <v>343</v>
      </c>
    </row>
    <row r="6" customFormat="false" ht="15" hidden="false" customHeight="false" outlineLevel="0" collapsed="false">
      <c r="A6" s="1" t="n">
        <v>5</v>
      </c>
      <c r="B6" s="1" t="s">
        <v>344</v>
      </c>
      <c r="C6" s="1" t="s">
        <v>345</v>
      </c>
      <c r="E6" s="1" t="s">
        <v>332</v>
      </c>
      <c r="F6" s="1" t="s">
        <v>346</v>
      </c>
    </row>
    <row r="7" customFormat="false" ht="15" hidden="false" customHeight="false" outlineLevel="0" collapsed="false">
      <c r="A7" s="1" t="n">
        <v>6</v>
      </c>
      <c r="B7" s="1" t="s">
        <v>347</v>
      </c>
      <c r="C7" s="1" t="s">
        <v>348</v>
      </c>
      <c r="E7" s="1" t="s">
        <v>332</v>
      </c>
      <c r="F7" s="1" t="s">
        <v>349</v>
      </c>
    </row>
    <row r="8" customFormat="false" ht="15" hidden="false" customHeight="false" outlineLevel="0" collapsed="false">
      <c r="A8" s="1" t="n">
        <v>7</v>
      </c>
      <c r="B8" s="1" t="s">
        <v>350</v>
      </c>
      <c r="C8" s="1" t="s">
        <v>351</v>
      </c>
      <c r="E8" s="1" t="s">
        <v>332</v>
      </c>
      <c r="F8" s="1" t="s">
        <v>352</v>
      </c>
    </row>
    <row r="9" customFormat="false" ht="15" hidden="false" customHeight="false" outlineLevel="0" collapsed="false">
      <c r="A9" s="1" t="n">
        <v>8</v>
      </c>
      <c r="B9" s="1" t="s">
        <v>353</v>
      </c>
      <c r="C9" s="1" t="s">
        <v>354</v>
      </c>
      <c r="E9" s="1" t="s">
        <v>332</v>
      </c>
      <c r="F9" s="1" t="s">
        <v>355</v>
      </c>
    </row>
    <row r="10" customFormat="false" ht="15" hidden="false" customHeight="false" outlineLevel="0" collapsed="false">
      <c r="A10" s="1" t="n">
        <v>9</v>
      </c>
      <c r="B10" s="1" t="s">
        <v>356</v>
      </c>
      <c r="C10" s="1" t="s">
        <v>357</v>
      </c>
      <c r="E10" s="1" t="s">
        <v>339</v>
      </c>
      <c r="F10" s="1" t="s">
        <v>358</v>
      </c>
    </row>
    <row r="11" customFormat="false" ht="15" hidden="false" customHeight="false" outlineLevel="0" collapsed="false">
      <c r="A11" s="1" t="n">
        <v>10</v>
      </c>
      <c r="B11" s="1" t="s">
        <v>359</v>
      </c>
      <c r="C11" s="1" t="s">
        <v>360</v>
      </c>
      <c r="E11" s="1" t="s">
        <v>332</v>
      </c>
      <c r="F11" s="1" t="s">
        <v>361</v>
      </c>
    </row>
    <row r="12" customFormat="false" ht="15" hidden="false" customHeight="false" outlineLevel="0" collapsed="false">
      <c r="A12" s="1" t="n">
        <v>11</v>
      </c>
      <c r="B12" s="1" t="s">
        <v>362</v>
      </c>
      <c r="C12" s="1" t="s">
        <v>363</v>
      </c>
      <c r="E12" s="1" t="s">
        <v>332</v>
      </c>
      <c r="F12" s="1" t="s">
        <v>361</v>
      </c>
      <c r="G12" s="1" t="s">
        <v>364</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1:AA12">
    <sortState ref="A2:AA12">
      <sortCondition ref="A2:A12"/>
    </sortState>
  </autoFilter>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8.71"/>
    <col collapsed="false" customWidth="true" hidden="false" outlineLevel="0" max="2" min="2" style="0" width="49"/>
    <col collapsed="false" customWidth="true" hidden="false" outlineLevel="0" max="3" min="3" style="0" width="11.14"/>
    <col collapsed="false" customWidth="true" hidden="false" outlineLevel="0" max="4" min="4" style="0" width="8.71"/>
    <col collapsed="false" customWidth="true" hidden="false" outlineLevel="0" max="5" min="5" style="0" width="52.71"/>
    <col collapsed="false" customWidth="true" hidden="false" outlineLevel="0" max="24" min="6" style="0" width="8.71"/>
    <col collapsed="false" customWidth="true" hidden="false" outlineLevel="0" max="27" min="25" style="0" width="18.43"/>
    <col collapsed="false" customWidth="true" hidden="false" outlineLevel="0" max="29" min="28" style="0" width="8.71"/>
    <col collapsed="false" customWidth="true" hidden="false" outlineLevel="0" max="30" min="30" style="0" width="24.57"/>
    <col collapsed="false" customWidth="true" hidden="false" outlineLevel="0" max="32" min="31" style="0" width="17.15"/>
    <col collapsed="false" customWidth="true" hidden="false" outlineLevel="0" max="53" min="33" style="0" width="8.71"/>
    <col collapsed="false" customWidth="true" hidden="false" outlineLevel="0" max="54" min="54" style="0" width="11.14"/>
    <col collapsed="false" customWidth="true" hidden="false" outlineLevel="0" max="55" min="55" style="0" width="18.14"/>
    <col collapsed="false" customWidth="true" hidden="false" outlineLevel="0" max="56" min="56" style="0" width="15.85"/>
  </cols>
  <sheetData>
    <row r="1" customFormat="false" ht="15" hidden="false" customHeight="false" outlineLevel="0" collapsed="false">
      <c r="A1" s="1" t="s">
        <v>365</v>
      </c>
      <c r="B1" s="1" t="s">
        <v>366</v>
      </c>
      <c r="C1" s="1" t="s">
        <v>367</v>
      </c>
      <c r="D1" s="1" t="s">
        <v>368</v>
      </c>
      <c r="E1" s="1" t="s">
        <v>369</v>
      </c>
      <c r="F1" s="1" t="s">
        <v>370</v>
      </c>
      <c r="G1" s="1" t="s">
        <v>371</v>
      </c>
      <c r="H1" s="1" t="s">
        <v>372</v>
      </c>
      <c r="I1" s="1" t="s">
        <v>373</v>
      </c>
      <c r="J1" s="1" t="s">
        <v>374</v>
      </c>
      <c r="K1" s="1" t="s">
        <v>375</v>
      </c>
      <c r="L1" s="1" t="s">
        <v>376</v>
      </c>
      <c r="M1" s="1" t="s">
        <v>377</v>
      </c>
      <c r="N1" s="1" t="s">
        <v>378</v>
      </c>
      <c r="O1" s="1" t="s">
        <v>379</v>
      </c>
      <c r="P1" s="1" t="s">
        <v>380</v>
      </c>
      <c r="Q1" s="1" t="s">
        <v>381</v>
      </c>
      <c r="R1" s="1" t="s">
        <v>382</v>
      </c>
      <c r="S1" s="1" t="s">
        <v>383</v>
      </c>
      <c r="T1" s="1" t="s">
        <v>384</v>
      </c>
      <c r="U1" s="1" t="s">
        <v>385</v>
      </c>
      <c r="V1" s="1" t="s">
        <v>386</v>
      </c>
      <c r="W1" s="1" t="s">
        <v>387</v>
      </c>
      <c r="X1" s="1" t="s">
        <v>388</v>
      </c>
      <c r="Y1" s="1" t="s">
        <v>389</v>
      </c>
      <c r="Z1" s="1" t="s">
        <v>390</v>
      </c>
      <c r="AA1" s="1" t="s">
        <v>391</v>
      </c>
      <c r="AB1" s="1" t="s">
        <v>392</v>
      </c>
      <c r="AC1" s="1" t="s">
        <v>393</v>
      </c>
      <c r="AD1" s="1" t="s">
        <v>394</v>
      </c>
      <c r="AE1" s="1" t="s">
        <v>395</v>
      </c>
      <c r="AF1" s="1" t="s">
        <v>396</v>
      </c>
      <c r="AG1" s="1" t="s">
        <v>397</v>
      </c>
      <c r="AH1" s="1" t="s">
        <v>398</v>
      </c>
      <c r="AI1" s="1" t="s">
        <v>399</v>
      </c>
      <c r="AJ1" s="1" t="s">
        <v>400</v>
      </c>
      <c r="AK1" s="1" t="s">
        <v>401</v>
      </c>
      <c r="AL1" s="1" t="s">
        <v>402</v>
      </c>
      <c r="AM1" s="1" t="s">
        <v>403</v>
      </c>
      <c r="AN1" s="1" t="s">
        <v>404</v>
      </c>
      <c r="AO1" s="1" t="s">
        <v>405</v>
      </c>
      <c r="AP1" s="1" t="s">
        <v>406</v>
      </c>
      <c r="AQ1" s="1" t="s">
        <v>407</v>
      </c>
      <c r="AR1" s="1" t="s">
        <v>408</v>
      </c>
      <c r="AS1" s="1" t="s">
        <v>409</v>
      </c>
      <c r="AT1" s="1" t="s">
        <v>410</v>
      </c>
      <c r="AU1" s="1" t="s">
        <v>411</v>
      </c>
      <c r="AV1" s="1" t="s">
        <v>412</v>
      </c>
      <c r="AW1" s="1" t="s">
        <v>413</v>
      </c>
      <c r="AX1" s="1" t="s">
        <v>414</v>
      </c>
      <c r="AY1" s="1" t="s">
        <v>415</v>
      </c>
      <c r="AZ1" s="1" t="s">
        <v>416</v>
      </c>
      <c r="BA1" s="1" t="s">
        <v>417</v>
      </c>
      <c r="BB1" s="1" t="s">
        <v>418</v>
      </c>
      <c r="BC1" s="1" t="s">
        <v>419</v>
      </c>
      <c r="BD1" s="1" t="s">
        <v>420</v>
      </c>
    </row>
    <row r="2" customFormat="false" ht="15" hidden="false" customHeight="false" outlineLevel="0" collapsed="false">
      <c r="AY2" s="5"/>
    </row>
    <row r="7" customFormat="false" ht="15" hidden="false" customHeight="false" outlineLevel="0" collapsed="false">
      <c r="AY7" s="5"/>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421</v>
      </c>
      <c r="B1" s="1" t="s">
        <v>422</v>
      </c>
      <c r="C1" s="1" t="s">
        <v>367</v>
      </c>
      <c r="D1" s="1" t="s">
        <v>423</v>
      </c>
      <c r="E1" s="1" t="s">
        <v>424</v>
      </c>
      <c r="F1" s="1" t="s">
        <v>425</v>
      </c>
      <c r="G1" s="1" t="s">
        <v>426</v>
      </c>
      <c r="H1" s="1" t="s">
        <v>427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421</v>
      </c>
      <c r="B1" s="1" t="s">
        <v>366</v>
      </c>
      <c r="C1" s="1" t="s">
        <v>367</v>
      </c>
      <c r="D1" s="1" t="s">
        <v>368</v>
      </c>
      <c r="E1" s="1" t="s">
        <v>428</v>
      </c>
      <c r="F1" s="1" t="s">
        <v>429</v>
      </c>
      <c r="G1" s="1" t="s">
        <v>430</v>
      </c>
      <c r="H1" s="1" t="s">
        <v>431</v>
      </c>
      <c r="I1" s="1" t="s">
        <v>427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148</v>
      </c>
      <c r="B1" s="1" t="s">
        <v>153</v>
      </c>
      <c r="C1" s="1" t="s">
        <v>432</v>
      </c>
      <c r="D1" s="1" t="s">
        <v>433</v>
      </c>
      <c r="E1" s="1" t="s">
        <v>434</v>
      </c>
      <c r="F1" s="1" t="s">
        <v>435</v>
      </c>
    </row>
    <row r="2" customFormat="false" ht="15" hidden="false" customHeight="false" outlineLevel="0" collapsed="false">
      <c r="A2" s="1" t="s">
        <v>145</v>
      </c>
      <c r="B2" s="1" t="s">
        <v>436</v>
      </c>
      <c r="C2" s="1" t="n">
        <v>5</v>
      </c>
      <c r="D2" s="1" t="n">
        <v>25</v>
      </c>
      <c r="E2" s="1" t="n">
        <v>0.5</v>
      </c>
      <c r="F2" s="1" t="n">
        <v>6.25</v>
      </c>
    </row>
    <row r="3" customFormat="false" ht="15" hidden="false" customHeight="false" outlineLevel="0" collapsed="false">
      <c r="A3" s="1" t="s">
        <v>145</v>
      </c>
      <c r="B3" s="1" t="s">
        <v>437</v>
      </c>
      <c r="C3" s="1" t="n">
        <v>5</v>
      </c>
      <c r="D3" s="1" t="n">
        <v>25</v>
      </c>
      <c r="E3" s="1" t="n">
        <v>0.5</v>
      </c>
      <c r="F3" s="1" t="n">
        <v>6.25</v>
      </c>
    </row>
    <row r="4" customFormat="false" ht="15" hidden="false" customHeight="false" outlineLevel="0" collapsed="false">
      <c r="A4" s="1" t="s">
        <v>145</v>
      </c>
      <c r="B4" s="1" t="s">
        <v>438</v>
      </c>
      <c r="C4" s="1" t="n">
        <v>3</v>
      </c>
      <c r="D4" s="1" t="n">
        <v>15</v>
      </c>
      <c r="E4" s="1" t="n">
        <v>0.3</v>
      </c>
      <c r="F4" s="1" t="n">
        <v>3.75</v>
      </c>
    </row>
    <row r="5" customFormat="false" ht="15" hidden="false" customHeight="false" outlineLevel="0" collapsed="false">
      <c r="A5" s="1" t="s">
        <v>145</v>
      </c>
      <c r="B5" s="1" t="s">
        <v>160</v>
      </c>
      <c r="C5" s="1" t="n">
        <v>3</v>
      </c>
      <c r="D5" s="1" t="n">
        <v>15</v>
      </c>
      <c r="E5" s="1" t="n">
        <v>0.3</v>
      </c>
      <c r="F5" s="1" t="n">
        <v>3.75</v>
      </c>
    </row>
    <row r="6" customFormat="false" ht="15" hidden="false" customHeight="false" outlineLevel="0" collapsed="false">
      <c r="A6" s="1" t="s">
        <v>145</v>
      </c>
      <c r="B6" s="1" t="s">
        <v>150</v>
      </c>
      <c r="C6" s="1" t="n">
        <v>1</v>
      </c>
      <c r="D6" s="1" t="n">
        <v>5</v>
      </c>
      <c r="E6" s="1" t="n">
        <v>0.1</v>
      </c>
      <c r="F6" s="1" t="n">
        <v>1.25</v>
      </c>
    </row>
    <row r="7" customFormat="false" ht="15" hidden="false" customHeight="false" outlineLevel="0" collapsed="false">
      <c r="A7" s="1" t="s">
        <v>439</v>
      </c>
      <c r="B7" s="1" t="s">
        <v>440</v>
      </c>
      <c r="C7" s="1" t="n">
        <v>5</v>
      </c>
      <c r="D7" s="1" t="n">
        <v>30</v>
      </c>
      <c r="E7" s="1" t="n">
        <v>0.5</v>
      </c>
      <c r="F7" s="1" t="n">
        <v>0</v>
      </c>
    </row>
    <row r="8" customFormat="false" ht="15" hidden="false" customHeight="false" outlineLevel="0" collapsed="false">
      <c r="A8" s="1" t="s">
        <v>439</v>
      </c>
      <c r="B8" s="1" t="s">
        <v>441</v>
      </c>
      <c r="C8" s="1" t="n">
        <v>2.5</v>
      </c>
      <c r="D8" s="1" t="n">
        <v>15</v>
      </c>
      <c r="E8" s="1" t="n">
        <v>0.25</v>
      </c>
      <c r="F8" s="1" t="n">
        <v>0</v>
      </c>
    </row>
    <row r="9" customFormat="false" ht="15" hidden="false" customHeight="false" outlineLevel="0" collapsed="false">
      <c r="A9" s="1" t="s">
        <v>439</v>
      </c>
      <c r="B9" s="1" t="s">
        <v>442</v>
      </c>
      <c r="C9" s="1" t="n">
        <v>1.25</v>
      </c>
      <c r="D9" s="1" t="n">
        <v>10</v>
      </c>
      <c r="E9" s="1" t="n">
        <v>0.125</v>
      </c>
      <c r="F9" s="1" t="n">
        <v>0</v>
      </c>
    </row>
    <row r="10" customFormat="false" ht="15" hidden="false" customHeight="false" outlineLevel="0" collapsed="false">
      <c r="A10" s="1" t="s">
        <v>439</v>
      </c>
      <c r="B10" s="1" t="s">
        <v>443</v>
      </c>
      <c r="C10" s="1" t="n">
        <v>0.25</v>
      </c>
      <c r="D10" s="1" t="n">
        <v>2</v>
      </c>
      <c r="E10" s="1" t="n">
        <v>0.025</v>
      </c>
      <c r="F10" s="1" t="n">
        <v>0</v>
      </c>
    </row>
    <row r="11" customFormat="false" ht="15" hidden="false" customHeight="false" outlineLevel="0" collapsed="false">
      <c r="A11" s="1" t="s">
        <v>439</v>
      </c>
      <c r="B11" s="1" t="s">
        <v>444</v>
      </c>
      <c r="C11" s="1" t="n">
        <v>0.75</v>
      </c>
      <c r="D11" s="1" t="n">
        <v>4.5</v>
      </c>
      <c r="E11" s="1" t="n">
        <v>0.075</v>
      </c>
      <c r="F11" s="1" t="n">
        <v>0</v>
      </c>
    </row>
    <row r="12" customFormat="false" ht="15" hidden="false" customHeight="false" outlineLevel="0" collapsed="false">
      <c r="A12" s="1" t="s">
        <v>439</v>
      </c>
      <c r="B12" s="1" t="s">
        <v>445</v>
      </c>
      <c r="C12" s="1" t="n">
        <v>0.2</v>
      </c>
      <c r="D12" s="1" t="n">
        <v>1.25</v>
      </c>
      <c r="E12" s="1" t="n">
        <v>0.02</v>
      </c>
      <c r="F12" s="1" t="n">
        <v>0</v>
      </c>
    </row>
    <row r="13" customFormat="false" ht="15" hidden="false" customHeight="false" outlineLevel="0" collapsed="false">
      <c r="A13" s="1" t="s">
        <v>439</v>
      </c>
      <c r="B13" s="1" t="s">
        <v>446</v>
      </c>
      <c r="C13" s="1" t="n">
        <v>0.1</v>
      </c>
      <c r="D13" s="1" t="n">
        <v>0.4</v>
      </c>
      <c r="E13" s="1" t="n">
        <v>0.01</v>
      </c>
      <c r="F13" s="1" t="n">
        <v>0</v>
      </c>
    </row>
    <row r="14" customFormat="false" ht="15" hidden="false" customHeight="false" outlineLevel="0" collapsed="false">
      <c r="A14" s="1" t="s">
        <v>447</v>
      </c>
      <c r="B14" s="1" t="s">
        <v>448</v>
      </c>
      <c r="C14" s="1" t="n">
        <v>2</v>
      </c>
      <c r="D14" s="1" t="n">
        <v>12</v>
      </c>
      <c r="E14" s="1" t="n">
        <v>0.2</v>
      </c>
      <c r="F14" s="1" t="n">
        <v>0</v>
      </c>
    </row>
    <row r="15" customFormat="false" ht="15" hidden="false" customHeight="false" outlineLevel="0" collapsed="false">
      <c r="A15" s="1" t="s">
        <v>447</v>
      </c>
      <c r="B15" s="1" t="s">
        <v>449</v>
      </c>
      <c r="C15" s="1" t="n">
        <v>1.25</v>
      </c>
      <c r="D15" s="1" t="n">
        <v>10</v>
      </c>
      <c r="E15" s="1" t="n">
        <v>0.125</v>
      </c>
      <c r="F15" s="1" t="n">
        <v>0</v>
      </c>
    </row>
    <row r="16" customFormat="false" ht="15" hidden="false" customHeight="false" outlineLevel="0" collapsed="false">
      <c r="A16" s="1" t="s">
        <v>447</v>
      </c>
      <c r="B16" s="1" t="s">
        <v>450</v>
      </c>
      <c r="C16" s="1" t="n">
        <v>0.3</v>
      </c>
      <c r="D16" s="1" t="n">
        <v>2.5</v>
      </c>
      <c r="E16" s="1" t="n">
        <v>0.03</v>
      </c>
      <c r="F16" s="1" t="n">
        <v>0</v>
      </c>
    </row>
    <row r="17" customFormat="false" ht="15" hidden="false" customHeight="false" outlineLevel="0" collapsed="false">
      <c r="A17" s="1" t="s">
        <v>447</v>
      </c>
      <c r="B17" s="1" t="s">
        <v>451</v>
      </c>
      <c r="C17" s="1" t="n">
        <v>0.1</v>
      </c>
      <c r="D17" s="1" t="n">
        <v>0.4</v>
      </c>
      <c r="E17" s="1" t="n">
        <v>0.01</v>
      </c>
      <c r="F17" s="1" t="n">
        <v>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U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sheetData>
    <row r="1" customFormat="false" ht="15" hidden="false" customHeight="false" outlineLevel="0" collapsed="false">
      <c r="A1" s="1" t="s">
        <v>452</v>
      </c>
      <c r="B1" s="1" t="s">
        <v>413</v>
      </c>
      <c r="C1" s="1" t="s">
        <v>396</v>
      </c>
      <c r="D1" s="1" t="s">
        <v>372</v>
      </c>
      <c r="E1" s="1" t="s">
        <v>368</v>
      </c>
      <c r="F1" s="1" t="s">
        <v>369</v>
      </c>
      <c r="G1" s="1" t="s">
        <v>453</v>
      </c>
      <c r="H1" s="1" t="s">
        <v>454</v>
      </c>
      <c r="I1" s="1" t="s">
        <v>367</v>
      </c>
      <c r="J1" s="1" t="s">
        <v>455</v>
      </c>
      <c r="K1" s="1" t="s">
        <v>456</v>
      </c>
      <c r="L1" s="1" t="s">
        <v>457</v>
      </c>
      <c r="M1" s="1" t="s">
        <v>458</v>
      </c>
      <c r="N1" s="1" t="s">
        <v>459</v>
      </c>
      <c r="O1" s="1" t="s">
        <v>460</v>
      </c>
      <c r="P1" s="1" t="s">
        <v>461</v>
      </c>
      <c r="Q1" s="1" t="s">
        <v>462</v>
      </c>
      <c r="R1" s="1" t="s">
        <v>463</v>
      </c>
      <c r="S1" s="1" t="s">
        <v>464</v>
      </c>
      <c r="T1" s="1" t="s">
        <v>465</v>
      </c>
      <c r="U1" s="1" t="s">
        <v>421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8.71"/>
    <col collapsed="false" customWidth="true" hidden="false" outlineLevel="0" max="4" min="4" style="0" width="25.71"/>
    <col collapsed="false" customWidth="true" hidden="false" outlineLevel="0" max="5" min="5" style="0" width="8.29"/>
    <col collapsed="false" customWidth="true" hidden="false" outlineLevel="0" max="6" min="6" style="0" width="24.14"/>
    <col collapsed="false" customWidth="true" hidden="false" outlineLevel="0" max="11" min="7" style="0" width="8.71"/>
    <col collapsed="false" customWidth="true" hidden="false" outlineLevel="0" max="12" min="12" style="0" width="18.71"/>
    <col collapsed="false" customWidth="true" hidden="false" outlineLevel="0" max="26" min="13" style="0" width="8.71"/>
  </cols>
  <sheetData>
    <row r="1" customFormat="false" ht="15" hidden="false" customHeight="false" outlineLevel="0" collapsed="false">
      <c r="A1" s="1" t="s">
        <v>421</v>
      </c>
      <c r="B1" s="1" t="s">
        <v>466</v>
      </c>
      <c r="C1" s="1" t="s">
        <v>148</v>
      </c>
      <c r="D1" s="1" t="s">
        <v>401</v>
      </c>
      <c r="E1" s="1" t="s">
        <v>467</v>
      </c>
      <c r="F1" s="1" t="s">
        <v>468</v>
      </c>
      <c r="G1" s="1" t="s">
        <v>461</v>
      </c>
      <c r="H1" s="1" t="s">
        <v>462</v>
      </c>
      <c r="I1" s="1" t="s">
        <v>469</v>
      </c>
      <c r="J1" s="1" t="s">
        <v>470</v>
      </c>
      <c r="K1" s="1" t="s">
        <v>463</v>
      </c>
      <c r="L1" s="1" t="s">
        <v>413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row r="1041" customFormat="false" ht="15.75" hidden="false" customHeight="true" outlineLevel="0" collapsed="false"/>
    <row r="1042" customFormat="false" ht="15.75" hidden="false" customHeight="true" outlineLevel="0" collapsed="false"/>
    <row r="1043" customFormat="false" ht="15.75" hidden="false" customHeight="true" outlineLevel="0" collapsed="false"/>
    <row r="1044" customFormat="false" ht="15.75" hidden="false" customHeight="true" outlineLevel="0" collapsed="false"/>
    <row r="1045" customFormat="false" ht="15.75" hidden="false" customHeight="true" outlineLevel="0" collapsed="false"/>
    <row r="1046" customFormat="false" ht="15.75" hidden="false" customHeight="true" outlineLevel="0" collapsed="false"/>
    <row r="1047" customFormat="false" ht="15.75" hidden="false" customHeight="true" outlineLevel="0" collapsed="false"/>
    <row r="1048" customFormat="false" ht="15.75" hidden="false" customHeight="true" outlineLevel="0" collapsed="false"/>
    <row r="1049" customFormat="false" ht="15.75" hidden="false" customHeight="true" outlineLevel="0" collapsed="false"/>
    <row r="1050" customFormat="false" ht="15.75" hidden="false" customHeight="true" outlineLevel="0" collapsed="false"/>
    <row r="1051" customFormat="false" ht="15.75" hidden="false" customHeight="true" outlineLevel="0" collapsed="false"/>
    <row r="1052" customFormat="false" ht="15.75" hidden="false" customHeight="true" outlineLevel="0" collapsed="false"/>
    <row r="1053"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68.85"/>
    <col collapsed="false" customWidth="true" hidden="false" outlineLevel="0" max="2" min="2" style="0" width="19.29"/>
    <col collapsed="false" customWidth="true" hidden="false" outlineLevel="0" max="3" min="3" style="0" width="24.14"/>
    <col collapsed="false" customWidth="true" hidden="false" outlineLevel="0" max="4" min="4" style="0" width="198.1"/>
    <col collapsed="false" customWidth="true" hidden="false" outlineLevel="0" max="5" min="5" style="0" width="30.14"/>
    <col collapsed="false" customWidth="true" hidden="false" outlineLevel="0" max="6" min="6" style="0" width="171.79"/>
    <col collapsed="false" customWidth="true" hidden="false" outlineLevel="0" max="7" min="7" style="0" width="8.71"/>
    <col collapsed="false" customWidth="true" hidden="false" outlineLevel="0" max="8" min="8" style="0" width="14"/>
    <col collapsed="false" customWidth="true" hidden="false" outlineLevel="0" max="26" min="9" style="0" width="8.71"/>
  </cols>
  <sheetData>
    <row r="1" customFormat="false" ht="15" hidden="false" customHeight="false" outlineLevel="0" collapsed="false">
      <c r="A1" s="1" t="s">
        <v>372</v>
      </c>
      <c r="B1" s="1" t="s">
        <v>396</v>
      </c>
      <c r="C1" s="1" t="s">
        <v>471</v>
      </c>
      <c r="D1" s="1" t="s">
        <v>458</v>
      </c>
      <c r="E1" s="1" t="s">
        <v>472</v>
      </c>
      <c r="F1" s="1" t="s">
        <v>473</v>
      </c>
      <c r="G1" s="1" t="s">
        <v>468</v>
      </c>
      <c r="H1" s="1" t="s">
        <v>413</v>
      </c>
      <c r="I1" s="1" t="s">
        <v>421</v>
      </c>
    </row>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6.43"/>
    <col collapsed="false" customWidth="true" hidden="false" outlineLevel="0" max="2" min="2" style="0" width="13.29"/>
    <col collapsed="false" customWidth="true" hidden="false" outlineLevel="0" max="3" min="3" style="0" width="20.43"/>
    <col collapsed="false" customWidth="true" hidden="false" outlineLevel="0" max="7" min="4" style="0" width="8.71"/>
    <col collapsed="false" customWidth="true" hidden="false" outlineLevel="0" max="8" min="8" style="0" width="20"/>
    <col collapsed="false" customWidth="true" hidden="false" outlineLevel="0" max="9" min="9" style="0" width="8.71"/>
    <col collapsed="false" customWidth="true" hidden="false" outlineLevel="0" max="10" min="10" style="0" width="40.3"/>
    <col collapsed="false" customWidth="true" hidden="false" outlineLevel="0" max="11" min="11" style="0" width="21.71"/>
    <col collapsed="false" customWidth="true" hidden="false" outlineLevel="0" max="12" min="12" style="0" width="14.14"/>
    <col collapsed="false" customWidth="true" hidden="false" outlineLevel="0" max="16" min="13" style="0" width="8.71"/>
    <col collapsed="false" customWidth="true" hidden="false" outlineLevel="0" max="17" min="17" style="0" width="19"/>
    <col collapsed="false" customWidth="true" hidden="false" outlineLevel="0" max="18" min="18" style="0" width="18"/>
    <col collapsed="false" customWidth="true" hidden="false" outlineLevel="0" max="19" min="19" style="0" width="17.86"/>
    <col collapsed="false" customWidth="true" hidden="false" outlineLevel="0" max="22" min="20" style="0" width="8.71"/>
    <col collapsed="false" customWidth="true" hidden="false" outlineLevel="0" max="23" min="23" style="0" width="134.14"/>
    <col collapsed="false" customWidth="true" hidden="false" outlineLevel="0" max="25" min="24" style="0" width="8.71"/>
  </cols>
  <sheetData>
    <row r="1" customFormat="false" ht="15" hidden="false" customHeight="false" outlineLevel="0" collapsed="false">
      <c r="A1" s="1" t="s">
        <v>471</v>
      </c>
      <c r="B1" s="1" t="s">
        <v>413</v>
      </c>
      <c r="C1" s="1" t="s">
        <v>396</v>
      </c>
      <c r="D1" s="1" t="s">
        <v>372</v>
      </c>
      <c r="E1" s="1" t="s">
        <v>368</v>
      </c>
      <c r="F1" s="1" t="s">
        <v>369</v>
      </c>
      <c r="G1" s="1" t="s">
        <v>453</v>
      </c>
      <c r="H1" s="1" t="s">
        <v>474</v>
      </c>
      <c r="I1" s="1" t="s">
        <v>367</v>
      </c>
      <c r="J1" s="1" t="s">
        <v>475</v>
      </c>
      <c r="K1" s="1" t="s">
        <v>456</v>
      </c>
      <c r="L1" s="1" t="s">
        <v>457</v>
      </c>
      <c r="M1" s="1" t="s">
        <v>476</v>
      </c>
      <c r="N1" s="1" t="s">
        <v>387</v>
      </c>
      <c r="O1" s="1" t="s">
        <v>403</v>
      </c>
      <c r="P1" s="1" t="s">
        <v>477</v>
      </c>
      <c r="Q1" s="1" t="s">
        <v>459</v>
      </c>
      <c r="R1" s="1" t="s">
        <v>460</v>
      </c>
      <c r="S1" s="1" t="s">
        <v>478</v>
      </c>
      <c r="T1" s="1" t="s">
        <v>461</v>
      </c>
      <c r="U1" s="1" t="s">
        <v>462</v>
      </c>
      <c r="V1" s="1" t="s">
        <v>463</v>
      </c>
      <c r="W1" s="1" t="s">
        <v>464</v>
      </c>
      <c r="X1" s="1" t="s">
        <v>465</v>
      </c>
      <c r="Y1" s="1" t="s">
        <v>421</v>
      </c>
    </row>
    <row r="5" customFormat="false" ht="15" hidden="false" customHeight="false" outlineLevel="0" collapsed="false">
      <c r="J5" s="6"/>
    </row>
    <row r="8" customFormat="false" ht="15" hidden="false" customHeight="false" outlineLevel="0" collapsed="false">
      <c r="A8" s="7"/>
      <c r="B8" s="7"/>
      <c r="C8" s="7"/>
      <c r="D8" s="8"/>
      <c r="E8" s="7"/>
      <c r="F8" s="7"/>
      <c r="G8" s="9"/>
      <c r="H8" s="7"/>
      <c r="I8" s="7"/>
      <c r="J8" s="7"/>
      <c r="K8" s="7"/>
      <c r="L8" s="10"/>
      <c r="M8" s="10"/>
      <c r="N8" s="9"/>
      <c r="O8" s="7"/>
      <c r="P8" s="7"/>
      <c r="Q8" s="7"/>
      <c r="R8" s="9"/>
      <c r="S8" s="9"/>
      <c r="T8" s="9"/>
      <c r="U8" s="9"/>
      <c r="V8" s="9"/>
      <c r="W8" s="7"/>
      <c r="X8" s="7"/>
      <c r="Y8" s="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421</v>
      </c>
      <c r="B1" s="1" t="s">
        <v>479</v>
      </c>
      <c r="C1" s="1" t="s">
        <v>480</v>
      </c>
      <c r="D1" s="1" t="s">
        <v>481</v>
      </c>
      <c r="E1" s="1" t="s">
        <v>482</v>
      </c>
      <c r="F1" s="1" t="s">
        <v>483</v>
      </c>
      <c r="G1" s="1" t="s">
        <v>484</v>
      </c>
      <c r="H1" s="1" t="s">
        <v>485</v>
      </c>
      <c r="I1" s="1" t="s">
        <v>430</v>
      </c>
      <c r="J1" s="1" t="s">
        <v>486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0.85"/>
    <col collapsed="false" customWidth="true" hidden="false" outlineLevel="0" max="2" min="2" style="0" width="16.85"/>
    <col collapsed="false" customWidth="true" hidden="false" outlineLevel="0" max="3" min="3" style="0" width="8.71"/>
    <col collapsed="false" customWidth="true" hidden="false" outlineLevel="0" max="4" min="4" style="0" width="11"/>
    <col collapsed="false" customWidth="true" hidden="false" outlineLevel="0" max="5" min="5" style="0" width="7.57"/>
    <col collapsed="false" customWidth="true" hidden="false" outlineLevel="0" max="7" min="6" style="0" width="24.14"/>
    <col collapsed="false" customWidth="true" hidden="false" outlineLevel="0" max="8" min="8" style="0" width="13.15"/>
    <col collapsed="false" customWidth="true" hidden="false" outlineLevel="0" max="9" min="9" style="0" width="47.57"/>
    <col collapsed="false" customWidth="true" hidden="false" outlineLevel="0" max="26" min="10" style="0" width="8.71"/>
  </cols>
  <sheetData>
    <row r="1" customFormat="false" ht="15" hidden="false" customHeight="false" outlineLevel="0" collapsed="false">
      <c r="A1" s="1" t="s">
        <v>487</v>
      </c>
      <c r="B1" s="1" t="s">
        <v>488</v>
      </c>
      <c r="C1" s="1" t="s">
        <v>467</v>
      </c>
      <c r="D1" s="1" t="s">
        <v>421</v>
      </c>
      <c r="E1" s="1" t="s">
        <v>367</v>
      </c>
      <c r="F1" s="1" t="s">
        <v>489</v>
      </c>
      <c r="G1" s="1" t="s">
        <v>490</v>
      </c>
      <c r="H1" s="1" t="s">
        <v>491</v>
      </c>
      <c r="I1" s="1" t="s">
        <v>492</v>
      </c>
    </row>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 min="2" style="0" width="18.57"/>
    <col collapsed="false" customWidth="true" hidden="false" outlineLevel="0" max="3" min="3" style="0" width="19.14"/>
    <col collapsed="false" customWidth="true" hidden="false" outlineLevel="0" max="4" min="4" style="0" width="16.71"/>
    <col collapsed="false" customWidth="true" hidden="false" outlineLevel="0" max="5" min="5" style="0" width="24.14"/>
  </cols>
  <sheetData>
    <row r="1" customFormat="false" ht="15" hidden="false" customHeight="false" outlineLevel="0" collapsed="false">
      <c r="A1" s="1" t="s">
        <v>493</v>
      </c>
      <c r="B1" s="1" t="s">
        <v>494</v>
      </c>
      <c r="C1" s="1" t="s">
        <v>495</v>
      </c>
      <c r="D1" s="1" t="s">
        <v>496</v>
      </c>
      <c r="E1" s="1" t="s">
        <v>497</v>
      </c>
      <c r="F1" s="1" t="s">
        <v>498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2026-06-12T01:38:46Z</dcterms:created>
  <dc:creator>openpyxl</dc:creator>
  <dc:description/>
  <dc:language>en-US</dc:language>
  <cp:lastModifiedBy/>
  <dcterms:modified xsi:type="dcterms:W3CDTF">2026-06-12T11:33:02Z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